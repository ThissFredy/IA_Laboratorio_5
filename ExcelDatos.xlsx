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90343c3aa379617/OCTAVO SEMESTRE/AI/4. CNN/LABORATORIO 5/"/>
    </mc:Choice>
  </mc:AlternateContent>
  <xr:revisionPtr revIDLastSave="521" documentId="8_{186185B9-4753-4F56-A23A-0D0899A43695}" xr6:coauthVersionLast="47" xr6:coauthVersionMax="47" xr10:uidLastSave="{FE3D7BFA-5EC5-49E7-9797-79DDA35C8867}"/>
  <bookViews>
    <workbookView xWindow="-120" yWindow="-120" windowWidth="29040" windowHeight="15840" xr2:uid="{B3D37BBD-9052-4BAC-A1B3-AC82FFE595A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6" i="1" l="1"/>
  <c r="J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2" i="1"/>
  <c r="A6" i="1"/>
  <c r="A7" i="1"/>
  <c r="A8" i="1"/>
  <c r="A9" i="1"/>
  <c r="A115" i="1"/>
  <c r="A116" i="1"/>
  <c r="A117" i="1"/>
  <c r="A111" i="1"/>
  <c r="A112" i="1"/>
  <c r="A113" i="1"/>
  <c r="A107" i="1"/>
  <c r="A108" i="1"/>
  <c r="A109" i="1"/>
  <c r="A103" i="1"/>
  <c r="A104" i="1"/>
  <c r="A105" i="1"/>
  <c r="A99" i="1"/>
  <c r="A100" i="1"/>
  <c r="A101" i="1"/>
  <c r="A95" i="1"/>
  <c r="A96" i="1"/>
  <c r="A97" i="1"/>
  <c r="A91" i="1"/>
  <c r="A92" i="1"/>
  <c r="A93" i="1"/>
  <c r="A87" i="1"/>
  <c r="A88" i="1"/>
  <c r="A89" i="1"/>
  <c r="A83" i="1"/>
  <c r="A84" i="1"/>
  <c r="A85" i="1"/>
  <c r="A79" i="1"/>
  <c r="A80" i="1"/>
  <c r="A81" i="1"/>
  <c r="A75" i="1"/>
  <c r="A76" i="1"/>
  <c r="A77" i="1"/>
  <c r="A71" i="1"/>
  <c r="A72" i="1"/>
  <c r="A73" i="1"/>
  <c r="A67" i="1"/>
  <c r="A68" i="1"/>
  <c r="A69" i="1"/>
  <c r="A63" i="1"/>
  <c r="A64" i="1"/>
  <c r="A65" i="1"/>
  <c r="A59" i="1"/>
  <c r="A60" i="1"/>
  <c r="A61" i="1"/>
  <c r="A55" i="1"/>
  <c r="A56" i="1"/>
  <c r="A57" i="1"/>
  <c r="A51" i="1"/>
  <c r="A52" i="1"/>
  <c r="A53" i="1"/>
  <c r="A47" i="1"/>
  <c r="A48" i="1"/>
  <c r="A49" i="1"/>
  <c r="A43" i="1"/>
  <c r="A44" i="1"/>
  <c r="A45" i="1"/>
  <c r="A39" i="1"/>
  <c r="A40" i="1"/>
  <c r="A41" i="1"/>
  <c r="A35" i="1"/>
  <c r="A36" i="1"/>
  <c r="A37" i="1"/>
  <c r="A31" i="1"/>
  <c r="A32" i="1"/>
  <c r="A33" i="1"/>
  <c r="A27" i="1"/>
  <c r="A28" i="1"/>
  <c r="A29" i="1"/>
  <c r="A23" i="1"/>
  <c r="A24" i="1"/>
  <c r="A25" i="1"/>
  <c r="A19" i="1"/>
  <c r="A20" i="1"/>
  <c r="A21" i="1"/>
  <c r="A15" i="1"/>
  <c r="A16" i="1"/>
  <c r="A17" i="1"/>
  <c r="A11" i="1"/>
  <c r="A12" i="1"/>
  <c r="A13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I93" i="1" s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39" i="1"/>
  <c r="I40" i="1"/>
  <c r="I41" i="1"/>
  <c r="H39" i="1"/>
  <c r="H40" i="1"/>
  <c r="H41" i="1"/>
  <c r="H35" i="1"/>
  <c r="H36" i="1"/>
  <c r="H37" i="1"/>
  <c r="I35" i="1"/>
  <c r="I36" i="1"/>
  <c r="I37" i="1"/>
  <c r="I31" i="1"/>
  <c r="I32" i="1"/>
  <c r="I33" i="1"/>
  <c r="H31" i="1"/>
  <c r="H32" i="1"/>
  <c r="H33" i="1"/>
  <c r="H27" i="1"/>
  <c r="H28" i="1"/>
  <c r="H29" i="1"/>
  <c r="I27" i="1"/>
  <c r="I28" i="1"/>
  <c r="I29" i="1"/>
  <c r="I23" i="1"/>
  <c r="I24" i="1"/>
  <c r="I25" i="1"/>
  <c r="H23" i="1"/>
  <c r="H24" i="1"/>
  <c r="H25" i="1"/>
  <c r="A119" i="1"/>
  <c r="A120" i="1"/>
  <c r="A121" i="1"/>
  <c r="B2" i="1"/>
  <c r="A10" i="1"/>
  <c r="A14" i="1"/>
  <c r="A18" i="1"/>
  <c r="A22" i="1"/>
  <c r="A26" i="1"/>
  <c r="A30" i="1"/>
  <c r="A34" i="1"/>
  <c r="A38" i="1"/>
  <c r="A42" i="1"/>
  <c r="A46" i="1"/>
  <c r="A50" i="1"/>
  <c r="A54" i="1"/>
  <c r="A58" i="1"/>
  <c r="A62" i="1"/>
  <c r="A66" i="1"/>
  <c r="A70" i="1"/>
  <c r="A74" i="1"/>
  <c r="A78" i="1"/>
  <c r="A82" i="1"/>
  <c r="A86" i="1"/>
  <c r="A90" i="1"/>
  <c r="A94" i="1"/>
  <c r="A98" i="1"/>
  <c r="A102" i="1"/>
  <c r="A106" i="1"/>
  <c r="A110" i="1"/>
  <c r="A114" i="1"/>
  <c r="A118" i="1"/>
  <c r="I2" i="1"/>
  <c r="I3" i="1" s="1"/>
  <c r="I4" i="1" s="1"/>
  <c r="I5" i="1" s="1"/>
  <c r="I6" i="1"/>
  <c r="I7" i="1" s="1"/>
  <c r="I8" i="1" s="1"/>
  <c r="I9" i="1" s="1"/>
  <c r="I10" i="1"/>
  <c r="I11" i="1" s="1"/>
  <c r="I12" i="1" s="1"/>
  <c r="I13" i="1" s="1"/>
  <c r="I14" i="1"/>
  <c r="I15" i="1" s="1"/>
  <c r="I16" i="1" s="1"/>
  <c r="I17" i="1" s="1"/>
  <c r="I18" i="1"/>
  <c r="I19" i="1" s="1"/>
  <c r="I20" i="1" s="1"/>
  <c r="I21" i="1" s="1"/>
  <c r="I22" i="1"/>
  <c r="I26" i="1"/>
  <c r="I30" i="1"/>
  <c r="I34" i="1"/>
  <c r="I38" i="1"/>
  <c r="I42" i="1"/>
  <c r="H6" i="1"/>
  <c r="H7" i="1" s="1"/>
  <c r="H8" i="1" s="1"/>
  <c r="H9" i="1" s="1"/>
  <c r="H10" i="1"/>
  <c r="H11" i="1" s="1"/>
  <c r="H12" i="1" s="1"/>
  <c r="H13" i="1" s="1"/>
  <c r="H14" i="1"/>
  <c r="H15" i="1" s="1"/>
  <c r="H16" i="1" s="1"/>
  <c r="H17" i="1" s="1"/>
  <c r="H18" i="1"/>
  <c r="H19" i="1" s="1"/>
  <c r="H20" i="1" s="1"/>
  <c r="H21" i="1" s="1"/>
  <c r="H22" i="1"/>
  <c r="H26" i="1"/>
  <c r="H30" i="1"/>
  <c r="H34" i="1"/>
  <c r="H38" i="1"/>
  <c r="H42" i="1"/>
  <c r="H2" i="1"/>
  <c r="H3" i="1" s="1"/>
  <c r="H4" i="1" s="1"/>
  <c r="H5" i="1" s="1"/>
</calcChain>
</file>

<file path=xl/sharedStrings.xml><?xml version="1.0" encoding="utf-8"?>
<sst xmlns="http://schemas.openxmlformats.org/spreadsheetml/2006/main" count="130" uniqueCount="129">
  <si>
    <t>Pixeles/Cm(Escalado)</t>
  </si>
  <si>
    <t>px/cm</t>
  </si>
  <si>
    <t>imagen</t>
  </si>
  <si>
    <t>nombre</t>
  </si>
  <si>
    <t>Longitud(px)</t>
  </si>
  <si>
    <t>Altura(px)</t>
  </si>
  <si>
    <t>Pixeles/Cm</t>
  </si>
  <si>
    <t>longitud</t>
  </si>
  <si>
    <t>Altura(cm)</t>
  </si>
  <si>
    <t>Peso</t>
  </si>
  <si>
    <t>1_gray</t>
  </si>
  <si>
    <t>1_personalizada</t>
  </si>
  <si>
    <t>1_personalizada2</t>
  </si>
  <si>
    <t>1_norte</t>
  </si>
  <si>
    <t>2_gray</t>
  </si>
  <si>
    <t>2_personalizada</t>
  </si>
  <si>
    <t>2_personalizada2</t>
  </si>
  <si>
    <t>2_norte</t>
  </si>
  <si>
    <t>3_gray</t>
  </si>
  <si>
    <t>3_personalizada</t>
  </si>
  <si>
    <t>3_personalizada2</t>
  </si>
  <si>
    <t>3_norte</t>
  </si>
  <si>
    <t>4_gray</t>
  </si>
  <si>
    <t>4_personalizada</t>
  </si>
  <si>
    <t>4_personalizada2</t>
  </si>
  <si>
    <t>4_norte</t>
  </si>
  <si>
    <t>5_gray</t>
  </si>
  <si>
    <t>5_personalizada</t>
  </si>
  <si>
    <t>5_personalizada2</t>
  </si>
  <si>
    <t>5_norte</t>
  </si>
  <si>
    <t>6_gray</t>
  </si>
  <si>
    <t>6_personalizada</t>
  </si>
  <si>
    <t>6_personalizada2</t>
  </si>
  <si>
    <t>6_norte</t>
  </si>
  <si>
    <t>7_gray</t>
  </si>
  <si>
    <t>7_personalizada</t>
  </si>
  <si>
    <t>7_personalizada2</t>
  </si>
  <si>
    <t>7_norte</t>
  </si>
  <si>
    <t>8_gray</t>
  </si>
  <si>
    <t>8_personalizada</t>
  </si>
  <si>
    <t>8_personalizada2</t>
  </si>
  <si>
    <t>8_norte</t>
  </si>
  <si>
    <t>9_gray</t>
  </si>
  <si>
    <t>9_personalizada</t>
  </si>
  <si>
    <t>9_personalizada2</t>
  </si>
  <si>
    <t>9_norte</t>
  </si>
  <si>
    <t>10_gray</t>
  </si>
  <si>
    <t>10_personalizada</t>
  </si>
  <si>
    <t>10_personalizada2</t>
  </si>
  <si>
    <t>10_norte</t>
  </si>
  <si>
    <t>11_gray</t>
  </si>
  <si>
    <t>11_personalizada</t>
  </si>
  <si>
    <t>11_personalizada2</t>
  </si>
  <si>
    <t>11_norte</t>
  </si>
  <si>
    <t>12_gray</t>
  </si>
  <si>
    <t>12_personalizada</t>
  </si>
  <si>
    <t>12_personalizada2</t>
  </si>
  <si>
    <t>12_norte</t>
  </si>
  <si>
    <t>13_gray</t>
  </si>
  <si>
    <t>13_personalizada</t>
  </si>
  <si>
    <t>13_personalizada2</t>
  </si>
  <si>
    <t>13_norte</t>
  </si>
  <si>
    <t>14_gray</t>
  </si>
  <si>
    <t>14_personalizada</t>
  </si>
  <si>
    <t>14_personalizada2</t>
  </si>
  <si>
    <t>14_norte</t>
  </si>
  <si>
    <t>15_gray</t>
  </si>
  <si>
    <t>15_personalizada</t>
  </si>
  <si>
    <t>15_personalizada2</t>
  </si>
  <si>
    <t>15_norte</t>
  </si>
  <si>
    <t>16_gray</t>
  </si>
  <si>
    <t>16_personalizada</t>
  </si>
  <si>
    <t>16_personalizada2</t>
  </si>
  <si>
    <t>16_norte</t>
  </si>
  <si>
    <t>17_gray</t>
  </si>
  <si>
    <t>17_personalizada</t>
  </si>
  <si>
    <t>17_personalizada2</t>
  </si>
  <si>
    <t>17_norte</t>
  </si>
  <si>
    <t>18_gray</t>
  </si>
  <si>
    <t>18_personalizada</t>
  </si>
  <si>
    <t>18_personalizada2</t>
  </si>
  <si>
    <t>18_norte</t>
  </si>
  <si>
    <t>19_gray</t>
  </si>
  <si>
    <t>19_personalizada</t>
  </si>
  <si>
    <t>19_personalizada2</t>
  </si>
  <si>
    <t>19_norte</t>
  </si>
  <si>
    <t>20_gray</t>
  </si>
  <si>
    <t>20_personalizada</t>
  </si>
  <si>
    <t>20_personalizada2</t>
  </si>
  <si>
    <t>20_norte</t>
  </si>
  <si>
    <t>21_gray</t>
  </si>
  <si>
    <t>21_personalizada</t>
  </si>
  <si>
    <t>21_personalizada2</t>
  </si>
  <si>
    <t>21_norte</t>
  </si>
  <si>
    <t>22_gray</t>
  </si>
  <si>
    <t>22_personalizada</t>
  </si>
  <si>
    <t>22_personalizada2</t>
  </si>
  <si>
    <t>22_norte</t>
  </si>
  <si>
    <t>23_gray</t>
  </si>
  <si>
    <t>23_personalizada</t>
  </si>
  <si>
    <t>23_personalizada2</t>
  </si>
  <si>
    <t>23_norte</t>
  </si>
  <si>
    <t>24_gray</t>
  </si>
  <si>
    <t>24_personalizada</t>
  </si>
  <si>
    <t>24_personalizada2</t>
  </si>
  <si>
    <t>24_norte</t>
  </si>
  <si>
    <t>25_gray</t>
  </si>
  <si>
    <t>25_personalizada</t>
  </si>
  <si>
    <t>25_personalizada2</t>
  </si>
  <si>
    <t>25_norte</t>
  </si>
  <si>
    <t>26_gray</t>
  </si>
  <si>
    <t>26_personalizada</t>
  </si>
  <si>
    <t>26_personalizada2</t>
  </si>
  <si>
    <t>26_norte</t>
  </si>
  <si>
    <t>27_gray</t>
  </si>
  <si>
    <t>27_personalizada</t>
  </si>
  <si>
    <t>27_personalizada2</t>
  </si>
  <si>
    <t>27_norte</t>
  </si>
  <si>
    <t>28_gray</t>
  </si>
  <si>
    <t>28_personalizada</t>
  </si>
  <si>
    <t>28_personalizada2</t>
  </si>
  <si>
    <t>28_norte</t>
  </si>
  <si>
    <t>29_gray</t>
  </si>
  <si>
    <t>29_personalizada</t>
  </si>
  <si>
    <t>29_personalizada2</t>
  </si>
  <si>
    <t>29_norte</t>
  </si>
  <si>
    <t>30_gray</t>
  </si>
  <si>
    <t>30_personalizada</t>
  </si>
  <si>
    <t>30_personalizada2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</si>
</sst>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A32D-BBC2-44E3-B30C-B62013DFEF53}">
  <dimension ref="A1:J121"/>
  <sheetViews>
    <sheetView tabSelected="1" zoomScale="175" zoomScaleNormal="175" workbookViewId="0">
      <selection activeCell="G5" sqref="G5"/>
    </sheetView>
  </sheetViews>
  <sheetFormatPr baseColWidth="10" defaultColWidth="11.42578125" defaultRowHeight="15" x14ac:dyDescent="0.25"/>
  <cols>
    <col min="1" max="1" width="21" customWidth="1"/>
    <col min="2" max="2" width="15.42578125" bestFit="1" customWidth="1"/>
    <col min="3" max="3" width="17" style="3" bestFit="1" customWidth="1"/>
    <col min="4" max="4" width="17" customWidth="1"/>
    <col min="5" max="5" width="12.5703125" bestFit="1" customWidth="1"/>
    <col min="8" max="8" width="12.85546875" style="2" bestFit="1" customWidth="1"/>
    <col min="10" max="10" width="18.7109375" bestFit="1" customWidth="1"/>
  </cols>
  <sheetData>
    <row r="1" spans="1:10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</row>
    <row r="2" spans="1:10" x14ac:dyDescent="0.25">
      <c r="A2">
        <v>26</v>
      </c>
      <c r="B2">
        <f>G2/4</f>
        <v>26</v>
      </c>
      <c r="C2" s="3" t="s">
        <v>10</v>
      </c>
      <c r="D2" t="str">
        <f t="shared" ref="D2:D33" si="0">_xlfn.CONCAT(C2,".jpg")</f>
        <v>1_gray.jpg</v>
      </c>
      <c r="E2">
        <v>1123</v>
      </c>
      <c r="F2">
        <v>250</v>
      </c>
      <c r="G2">
        <v>104</v>
      </c>
      <c r="H2" s="2">
        <f>E2/G2</f>
        <v>10.798076923076923</v>
      </c>
      <c r="I2">
        <f>F2/G2</f>
        <v>2.4038461538461537</v>
      </c>
      <c r="J2">
        <f>PRODUCT(0.0141, POWER(H2,2.95))</f>
        <v>15.76126397090499</v>
      </c>
    </row>
    <row r="3" spans="1:10" x14ac:dyDescent="0.25">
      <c r="A3">
        <v>26</v>
      </c>
      <c r="B3">
        <v>26</v>
      </c>
      <c r="C3" s="3" t="s">
        <v>11</v>
      </c>
      <c r="D3" t="str">
        <f t="shared" si="0"/>
        <v>1_personalizada.jpg</v>
      </c>
      <c r="E3">
        <v>1123</v>
      </c>
      <c r="F3">
        <v>250</v>
      </c>
      <c r="G3">
        <v>104</v>
      </c>
      <c r="H3" s="2">
        <f>H2</f>
        <v>10.798076923076923</v>
      </c>
      <c r="I3">
        <f>I2</f>
        <v>2.4038461538461537</v>
      </c>
      <c r="J3">
        <f>PRODUCT(0.0141, POWER(H3,2.95))</f>
        <v>15.76126397090499</v>
      </c>
    </row>
    <row r="4" spans="1:10" x14ac:dyDescent="0.25">
      <c r="A4">
        <v>26</v>
      </c>
      <c r="B4">
        <v>26</v>
      </c>
      <c r="C4" s="3" t="s">
        <v>12</v>
      </c>
      <c r="D4" t="str">
        <f t="shared" si="0"/>
        <v>1_personalizada2.jpg</v>
      </c>
      <c r="E4">
        <v>1123</v>
      </c>
      <c r="F4">
        <v>250</v>
      </c>
      <c r="G4">
        <v>104</v>
      </c>
      <c r="H4" s="2">
        <f t="shared" ref="H4:H5" si="1">H3</f>
        <v>10.798076923076923</v>
      </c>
      <c r="I4">
        <f t="shared" ref="I4:I5" si="2">I3</f>
        <v>2.4038461538461537</v>
      </c>
      <c r="J4">
        <f t="shared" ref="J4:J67" si="3">PRODUCT(0.0141, POWER(H4,2.95))</f>
        <v>15.76126397090499</v>
      </c>
    </row>
    <row r="5" spans="1:10" x14ac:dyDescent="0.25">
      <c r="A5">
        <v>26</v>
      </c>
      <c r="B5">
        <v>26</v>
      </c>
      <c r="C5" s="3" t="s">
        <v>13</v>
      </c>
      <c r="D5" t="str">
        <f t="shared" si="0"/>
        <v>1_norte.jpg</v>
      </c>
      <c r="E5">
        <v>1123</v>
      </c>
      <c r="F5">
        <v>250</v>
      </c>
      <c r="G5" s="1">
        <v>104</v>
      </c>
      <c r="H5" s="2">
        <f t="shared" si="1"/>
        <v>10.798076923076923</v>
      </c>
      <c r="I5">
        <f t="shared" si="2"/>
        <v>2.4038461538461537</v>
      </c>
      <c r="J5">
        <f t="shared" si="3"/>
        <v>15.76126397090499</v>
      </c>
    </row>
    <row r="6" spans="1:10" x14ac:dyDescent="0.25">
      <c r="A6">
        <f t="shared" ref="A6:A17" si="4">G6/4</f>
        <v>15.75</v>
      </c>
      <c r="B6">
        <v>16</v>
      </c>
      <c r="C6" s="4" t="s">
        <v>14</v>
      </c>
      <c r="D6" t="str">
        <f t="shared" si="0"/>
        <v>2_gray.jpg</v>
      </c>
      <c r="E6" s="1">
        <v>759</v>
      </c>
      <c r="F6">
        <v>159</v>
      </c>
      <c r="G6">
        <v>63</v>
      </c>
      <c r="H6" s="2">
        <f>E6/G6</f>
        <v>12.047619047619047</v>
      </c>
      <c r="I6">
        <f>F6/G6</f>
        <v>2.5238095238095237</v>
      </c>
      <c r="J6">
        <f t="shared" si="3"/>
        <v>21.770967559056285</v>
      </c>
    </row>
    <row r="7" spans="1:10" x14ac:dyDescent="0.25">
      <c r="A7">
        <f t="shared" si="4"/>
        <v>15.75</v>
      </c>
      <c r="B7">
        <v>16</v>
      </c>
      <c r="C7" s="3" t="s">
        <v>15</v>
      </c>
      <c r="D7" t="str">
        <f t="shared" si="0"/>
        <v>2_personalizada.jpg</v>
      </c>
      <c r="E7">
        <v>759</v>
      </c>
      <c r="F7">
        <v>159</v>
      </c>
      <c r="G7">
        <v>63</v>
      </c>
      <c r="H7" s="2">
        <f>H6</f>
        <v>12.047619047619047</v>
      </c>
      <c r="I7">
        <f>I6</f>
        <v>2.5238095238095237</v>
      </c>
      <c r="J7">
        <f t="shared" si="3"/>
        <v>21.770967559056285</v>
      </c>
    </row>
    <row r="8" spans="1:10" x14ac:dyDescent="0.25">
      <c r="A8">
        <f t="shared" si="4"/>
        <v>15.75</v>
      </c>
      <c r="B8">
        <v>16</v>
      </c>
      <c r="C8" s="3" t="s">
        <v>16</v>
      </c>
      <c r="D8" t="str">
        <f t="shared" si="0"/>
        <v>2_personalizada2.jpg</v>
      </c>
      <c r="E8">
        <v>759</v>
      </c>
      <c r="F8">
        <v>159</v>
      </c>
      <c r="G8">
        <v>63</v>
      </c>
      <c r="H8" s="2">
        <f t="shared" ref="H8:H9" si="5">H7</f>
        <v>12.047619047619047</v>
      </c>
      <c r="I8">
        <f t="shared" ref="I8:I9" si="6">I7</f>
        <v>2.5238095238095237</v>
      </c>
      <c r="J8">
        <f t="shared" si="3"/>
        <v>21.770967559056285</v>
      </c>
    </row>
    <row r="9" spans="1:10" x14ac:dyDescent="0.25">
      <c r="A9">
        <f t="shared" si="4"/>
        <v>15.75</v>
      </c>
      <c r="B9">
        <v>16</v>
      </c>
      <c r="C9" s="3" t="s">
        <v>17</v>
      </c>
      <c r="D9" t="str">
        <f t="shared" si="0"/>
        <v>2_norte.jpg</v>
      </c>
      <c r="E9">
        <v>759</v>
      </c>
      <c r="F9">
        <v>159</v>
      </c>
      <c r="G9">
        <v>63</v>
      </c>
      <c r="H9" s="2">
        <f t="shared" si="5"/>
        <v>12.047619047619047</v>
      </c>
      <c r="I9">
        <f t="shared" si="6"/>
        <v>2.5238095238095237</v>
      </c>
      <c r="J9">
        <f t="shared" si="3"/>
        <v>21.770967559056285</v>
      </c>
    </row>
    <row r="10" spans="1:10" x14ac:dyDescent="0.25">
      <c r="A10">
        <f t="shared" si="4"/>
        <v>25.75</v>
      </c>
      <c r="B10">
        <v>26</v>
      </c>
      <c r="C10" s="3" t="s">
        <v>18</v>
      </c>
      <c r="D10" t="str">
        <f t="shared" si="0"/>
        <v>3_gray.jpg</v>
      </c>
      <c r="E10">
        <v>1128</v>
      </c>
      <c r="F10">
        <v>258</v>
      </c>
      <c r="G10">
        <v>103</v>
      </c>
      <c r="H10" s="2">
        <f>E10/G10</f>
        <v>10.951456310679612</v>
      </c>
      <c r="I10">
        <f>F10/G10</f>
        <v>2.5048543689320391</v>
      </c>
      <c r="J10">
        <f t="shared" si="3"/>
        <v>16.430892101690333</v>
      </c>
    </row>
    <row r="11" spans="1:10" x14ac:dyDescent="0.25">
      <c r="A11">
        <f t="shared" si="4"/>
        <v>25.75</v>
      </c>
      <c r="B11">
        <v>26</v>
      </c>
      <c r="C11" s="3" t="s">
        <v>19</v>
      </c>
      <c r="D11" t="str">
        <f t="shared" si="0"/>
        <v>3_personalizada.jpg</v>
      </c>
      <c r="E11">
        <v>1128</v>
      </c>
      <c r="F11">
        <v>258</v>
      </c>
      <c r="G11">
        <v>103</v>
      </c>
      <c r="H11" s="2">
        <f>H10</f>
        <v>10.951456310679612</v>
      </c>
      <c r="I11">
        <f>I10</f>
        <v>2.5048543689320391</v>
      </c>
      <c r="J11">
        <f t="shared" si="3"/>
        <v>16.430892101690333</v>
      </c>
    </row>
    <row r="12" spans="1:10" x14ac:dyDescent="0.25">
      <c r="A12">
        <f t="shared" si="4"/>
        <v>25.75</v>
      </c>
      <c r="B12">
        <v>26</v>
      </c>
      <c r="C12" s="3" t="s">
        <v>20</v>
      </c>
      <c r="D12" t="str">
        <f t="shared" si="0"/>
        <v>3_personalizada2.jpg</v>
      </c>
      <c r="E12">
        <v>1128</v>
      </c>
      <c r="F12">
        <v>258</v>
      </c>
      <c r="G12">
        <v>103</v>
      </c>
      <c r="H12" s="2">
        <f t="shared" ref="H12:H13" si="7">H11</f>
        <v>10.951456310679612</v>
      </c>
      <c r="I12">
        <f t="shared" ref="I12:I13" si="8">I11</f>
        <v>2.5048543689320391</v>
      </c>
      <c r="J12">
        <f t="shared" si="3"/>
        <v>16.430892101690333</v>
      </c>
    </row>
    <row r="13" spans="1:10" x14ac:dyDescent="0.25">
      <c r="A13">
        <f t="shared" si="4"/>
        <v>25.75</v>
      </c>
      <c r="B13">
        <v>26</v>
      </c>
      <c r="C13" s="4" t="s">
        <v>21</v>
      </c>
      <c r="D13" t="str">
        <f t="shared" si="0"/>
        <v>3_norte.jpg</v>
      </c>
      <c r="E13">
        <v>1128</v>
      </c>
      <c r="F13">
        <v>258</v>
      </c>
      <c r="G13">
        <v>103</v>
      </c>
      <c r="H13" s="2">
        <f t="shared" si="7"/>
        <v>10.951456310679612</v>
      </c>
      <c r="I13">
        <f t="shared" si="8"/>
        <v>2.5048543689320391</v>
      </c>
      <c r="J13">
        <f t="shared" si="3"/>
        <v>16.430892101690333</v>
      </c>
    </row>
    <row r="14" spans="1:10" x14ac:dyDescent="0.25">
      <c r="A14">
        <f t="shared" si="4"/>
        <v>13.25</v>
      </c>
      <c r="B14">
        <v>14</v>
      </c>
      <c r="C14" s="3" t="s">
        <v>22</v>
      </c>
      <c r="D14" t="str">
        <f t="shared" si="0"/>
        <v>4_gray.jpg</v>
      </c>
      <c r="E14">
        <v>885</v>
      </c>
      <c r="F14">
        <v>201</v>
      </c>
      <c r="G14">
        <v>53</v>
      </c>
      <c r="H14" s="2">
        <f>E14/G14</f>
        <v>16.69811320754717</v>
      </c>
      <c r="I14">
        <f>F14/G14</f>
        <v>3.7924528301886791</v>
      </c>
      <c r="J14">
        <f t="shared" si="3"/>
        <v>57.027974389010694</v>
      </c>
    </row>
    <row r="15" spans="1:10" x14ac:dyDescent="0.25">
      <c r="A15">
        <f t="shared" si="4"/>
        <v>13.25</v>
      </c>
      <c r="B15">
        <v>14</v>
      </c>
      <c r="C15" s="3" t="s">
        <v>23</v>
      </c>
      <c r="D15" t="str">
        <f t="shared" si="0"/>
        <v>4_personalizada.jpg</v>
      </c>
      <c r="E15">
        <v>885</v>
      </c>
      <c r="F15">
        <v>201</v>
      </c>
      <c r="G15">
        <v>53</v>
      </c>
      <c r="H15" s="2">
        <f t="shared" ref="H15:I17" si="9">H14</f>
        <v>16.69811320754717</v>
      </c>
      <c r="I15">
        <f t="shared" si="9"/>
        <v>3.7924528301886791</v>
      </c>
      <c r="J15">
        <f t="shared" si="3"/>
        <v>57.027974389010694</v>
      </c>
    </row>
    <row r="16" spans="1:10" x14ac:dyDescent="0.25">
      <c r="A16">
        <f t="shared" si="4"/>
        <v>13.25</v>
      </c>
      <c r="B16">
        <v>14</v>
      </c>
      <c r="C16" s="3" t="s">
        <v>24</v>
      </c>
      <c r="D16" t="str">
        <f t="shared" si="0"/>
        <v>4_personalizada2.jpg</v>
      </c>
      <c r="E16">
        <v>885</v>
      </c>
      <c r="F16">
        <v>201</v>
      </c>
      <c r="G16">
        <v>53</v>
      </c>
      <c r="H16" s="2">
        <f t="shared" si="9"/>
        <v>16.69811320754717</v>
      </c>
      <c r="I16">
        <f t="shared" si="9"/>
        <v>3.7924528301886791</v>
      </c>
      <c r="J16">
        <f t="shared" si="3"/>
        <v>57.027974389010694</v>
      </c>
    </row>
    <row r="17" spans="1:10" x14ac:dyDescent="0.25">
      <c r="A17">
        <f t="shared" si="4"/>
        <v>13.25</v>
      </c>
      <c r="B17">
        <v>14</v>
      </c>
      <c r="C17" s="3" t="s">
        <v>25</v>
      </c>
      <c r="D17" t="str">
        <f t="shared" si="0"/>
        <v>4_norte.jpg</v>
      </c>
      <c r="E17">
        <v>885</v>
      </c>
      <c r="F17">
        <v>201</v>
      </c>
      <c r="G17">
        <v>53</v>
      </c>
      <c r="H17" s="2">
        <f t="shared" si="9"/>
        <v>16.69811320754717</v>
      </c>
      <c r="I17">
        <f t="shared" si="9"/>
        <v>3.7924528301886791</v>
      </c>
      <c r="J17">
        <f t="shared" si="3"/>
        <v>57.027974389010694</v>
      </c>
    </row>
    <row r="18" spans="1:10" x14ac:dyDescent="0.25">
      <c r="A18">
        <f t="shared" ref="A18:A118" si="10">G18/4</f>
        <v>16.5</v>
      </c>
      <c r="B18">
        <v>17</v>
      </c>
      <c r="C18" s="3" t="s">
        <v>26</v>
      </c>
      <c r="D18" t="str">
        <f t="shared" si="0"/>
        <v>5_gray.jpg</v>
      </c>
      <c r="E18">
        <v>1039</v>
      </c>
      <c r="F18">
        <v>233</v>
      </c>
      <c r="G18">
        <v>66</v>
      </c>
      <c r="H18" s="2">
        <f>E18/G18</f>
        <v>15.742424242424242</v>
      </c>
      <c r="I18">
        <f>F18/G18</f>
        <v>3.5303030303030303</v>
      </c>
      <c r="J18">
        <f t="shared" si="3"/>
        <v>47.927013574513509</v>
      </c>
    </row>
    <row r="19" spans="1:10" x14ac:dyDescent="0.25">
      <c r="A19">
        <f>G19/4</f>
        <v>16.5</v>
      </c>
      <c r="B19">
        <v>17</v>
      </c>
      <c r="C19" s="3" t="s">
        <v>27</v>
      </c>
      <c r="D19" t="str">
        <f t="shared" si="0"/>
        <v>5_personalizada.jpg</v>
      </c>
      <c r="E19">
        <v>1039</v>
      </c>
      <c r="F19">
        <v>233</v>
      </c>
      <c r="G19">
        <v>66</v>
      </c>
      <c r="H19" s="2">
        <f t="shared" ref="H19:I21" si="11">H18</f>
        <v>15.742424242424242</v>
      </c>
      <c r="I19">
        <f t="shared" si="11"/>
        <v>3.5303030303030303</v>
      </c>
      <c r="J19">
        <f t="shared" si="3"/>
        <v>47.927013574513509</v>
      </c>
    </row>
    <row r="20" spans="1:10" x14ac:dyDescent="0.25">
      <c r="A20">
        <f>G20/4</f>
        <v>16.5</v>
      </c>
      <c r="B20">
        <v>17</v>
      </c>
      <c r="C20" s="3" t="s">
        <v>28</v>
      </c>
      <c r="D20" t="str">
        <f t="shared" si="0"/>
        <v>5_personalizada2.jpg</v>
      </c>
      <c r="E20">
        <v>1039</v>
      </c>
      <c r="F20">
        <v>233</v>
      </c>
      <c r="G20">
        <v>66</v>
      </c>
      <c r="H20" s="2">
        <f t="shared" si="11"/>
        <v>15.742424242424242</v>
      </c>
      <c r="I20">
        <f t="shared" si="11"/>
        <v>3.5303030303030303</v>
      </c>
      <c r="J20">
        <f t="shared" si="3"/>
        <v>47.927013574513509</v>
      </c>
    </row>
    <row r="21" spans="1:10" x14ac:dyDescent="0.25">
      <c r="A21">
        <f>G21/4</f>
        <v>16.5</v>
      </c>
      <c r="B21">
        <v>17</v>
      </c>
      <c r="C21" s="3" t="s">
        <v>29</v>
      </c>
      <c r="D21" t="str">
        <f t="shared" si="0"/>
        <v>5_norte.jpg</v>
      </c>
      <c r="E21">
        <v>1039</v>
      </c>
      <c r="F21">
        <v>233</v>
      </c>
      <c r="G21">
        <v>66</v>
      </c>
      <c r="H21" s="2">
        <f t="shared" si="11"/>
        <v>15.742424242424242</v>
      </c>
      <c r="I21">
        <f t="shared" si="11"/>
        <v>3.5303030303030303</v>
      </c>
      <c r="J21">
        <f t="shared" si="3"/>
        <v>47.927013574513509</v>
      </c>
    </row>
    <row r="22" spans="1:10" x14ac:dyDescent="0.25">
      <c r="A22">
        <f t="shared" si="10"/>
        <v>11.25</v>
      </c>
      <c r="B22">
        <v>12</v>
      </c>
      <c r="C22" s="3" t="s">
        <v>30</v>
      </c>
      <c r="D22" t="str">
        <f t="shared" si="0"/>
        <v>6_gray.jpg</v>
      </c>
      <c r="E22">
        <v>689</v>
      </c>
      <c r="F22">
        <v>145</v>
      </c>
      <c r="G22">
        <v>45</v>
      </c>
      <c r="H22" s="2">
        <f t="shared" ref="H22:H53" si="12">E22/G22</f>
        <v>15.311111111111112</v>
      </c>
      <c r="I22">
        <f t="shared" ref="I22:I53" si="13">F22/G22</f>
        <v>3.2222222222222223</v>
      </c>
      <c r="J22">
        <f t="shared" si="3"/>
        <v>44.155916320649972</v>
      </c>
    </row>
    <row r="23" spans="1:10" x14ac:dyDescent="0.25">
      <c r="A23">
        <f>G23/4</f>
        <v>11.25</v>
      </c>
      <c r="B23">
        <v>12</v>
      </c>
      <c r="C23" s="3" t="s">
        <v>31</v>
      </c>
      <c r="D23" t="str">
        <f t="shared" si="0"/>
        <v>6_personalizada.jpg</v>
      </c>
      <c r="E23">
        <v>689</v>
      </c>
      <c r="F23">
        <v>145</v>
      </c>
      <c r="G23">
        <v>45</v>
      </c>
      <c r="H23" s="2">
        <f t="shared" si="12"/>
        <v>15.311111111111112</v>
      </c>
      <c r="I23">
        <f t="shared" si="13"/>
        <v>3.2222222222222223</v>
      </c>
      <c r="J23">
        <f t="shared" si="3"/>
        <v>44.155916320649972</v>
      </c>
    </row>
    <row r="24" spans="1:10" x14ac:dyDescent="0.25">
      <c r="A24">
        <f>G24/4</f>
        <v>11.25</v>
      </c>
      <c r="B24">
        <v>12</v>
      </c>
      <c r="C24" s="3" t="s">
        <v>32</v>
      </c>
      <c r="D24" t="str">
        <f t="shared" si="0"/>
        <v>6_personalizada2.jpg</v>
      </c>
      <c r="E24">
        <v>689</v>
      </c>
      <c r="F24">
        <v>145</v>
      </c>
      <c r="G24">
        <v>45</v>
      </c>
      <c r="H24" s="2">
        <f t="shared" si="12"/>
        <v>15.311111111111112</v>
      </c>
      <c r="I24">
        <f t="shared" si="13"/>
        <v>3.2222222222222223</v>
      </c>
      <c r="J24">
        <f t="shared" si="3"/>
        <v>44.155916320649972</v>
      </c>
    </row>
    <row r="25" spans="1:10" x14ac:dyDescent="0.25">
      <c r="A25">
        <f>G25/4</f>
        <v>11.25</v>
      </c>
      <c r="B25">
        <v>12</v>
      </c>
      <c r="C25" s="3" t="s">
        <v>33</v>
      </c>
      <c r="D25" t="str">
        <f t="shared" si="0"/>
        <v>6_norte.jpg</v>
      </c>
      <c r="E25">
        <v>689</v>
      </c>
      <c r="F25">
        <v>145</v>
      </c>
      <c r="G25">
        <v>45</v>
      </c>
      <c r="H25" s="2">
        <f t="shared" si="12"/>
        <v>15.311111111111112</v>
      </c>
      <c r="I25">
        <f t="shared" si="13"/>
        <v>3.2222222222222223</v>
      </c>
      <c r="J25">
        <f t="shared" si="3"/>
        <v>44.155916320649972</v>
      </c>
    </row>
    <row r="26" spans="1:10" x14ac:dyDescent="0.25">
      <c r="A26">
        <f t="shared" si="10"/>
        <v>14.5</v>
      </c>
      <c r="B26">
        <v>15</v>
      </c>
      <c r="C26" s="3" t="s">
        <v>34</v>
      </c>
      <c r="D26" t="str">
        <f t="shared" si="0"/>
        <v>7_gray.jpg</v>
      </c>
      <c r="E26">
        <v>847</v>
      </c>
      <c r="F26">
        <v>185</v>
      </c>
      <c r="G26">
        <v>58</v>
      </c>
      <c r="H26" s="2">
        <f t="shared" si="12"/>
        <v>14.603448275862069</v>
      </c>
      <c r="I26">
        <f t="shared" si="13"/>
        <v>3.1896551724137931</v>
      </c>
      <c r="J26">
        <f t="shared" si="3"/>
        <v>38.402773613888861</v>
      </c>
    </row>
    <row r="27" spans="1:10" x14ac:dyDescent="0.25">
      <c r="A27">
        <f>G27/4</f>
        <v>14.5</v>
      </c>
      <c r="B27">
        <v>15</v>
      </c>
      <c r="C27" s="3" t="s">
        <v>35</v>
      </c>
      <c r="D27" t="str">
        <f t="shared" si="0"/>
        <v>7_personalizada.jpg</v>
      </c>
      <c r="E27">
        <v>847</v>
      </c>
      <c r="F27">
        <v>185</v>
      </c>
      <c r="G27">
        <v>58</v>
      </c>
      <c r="H27" s="2">
        <f t="shared" si="12"/>
        <v>14.603448275862069</v>
      </c>
      <c r="I27">
        <f t="shared" si="13"/>
        <v>3.1896551724137931</v>
      </c>
      <c r="J27">
        <f t="shared" si="3"/>
        <v>38.402773613888861</v>
      </c>
    </row>
    <row r="28" spans="1:10" x14ac:dyDescent="0.25">
      <c r="A28">
        <f>G28/4</f>
        <v>14.5</v>
      </c>
      <c r="B28">
        <v>15</v>
      </c>
      <c r="C28" s="3" t="s">
        <v>36</v>
      </c>
      <c r="D28" t="str">
        <f t="shared" si="0"/>
        <v>7_personalizada2.jpg</v>
      </c>
      <c r="E28">
        <v>847</v>
      </c>
      <c r="F28">
        <v>185</v>
      </c>
      <c r="G28">
        <v>58</v>
      </c>
      <c r="H28" s="2">
        <f t="shared" si="12"/>
        <v>14.603448275862069</v>
      </c>
      <c r="I28">
        <f t="shared" si="13"/>
        <v>3.1896551724137931</v>
      </c>
      <c r="J28">
        <f t="shared" si="3"/>
        <v>38.402773613888861</v>
      </c>
    </row>
    <row r="29" spans="1:10" x14ac:dyDescent="0.25">
      <c r="A29">
        <f>G29/4</f>
        <v>14.5</v>
      </c>
      <c r="B29">
        <v>15</v>
      </c>
      <c r="C29" s="3" t="s">
        <v>37</v>
      </c>
      <c r="D29" t="str">
        <f t="shared" si="0"/>
        <v>7_norte.jpg</v>
      </c>
      <c r="E29">
        <v>847</v>
      </c>
      <c r="F29">
        <v>185</v>
      </c>
      <c r="G29">
        <v>58</v>
      </c>
      <c r="H29" s="2">
        <f t="shared" si="12"/>
        <v>14.603448275862069</v>
      </c>
      <c r="I29">
        <f t="shared" si="13"/>
        <v>3.1896551724137931</v>
      </c>
      <c r="J29">
        <f t="shared" si="3"/>
        <v>38.402773613888861</v>
      </c>
    </row>
    <row r="30" spans="1:10" x14ac:dyDescent="0.25">
      <c r="A30">
        <f t="shared" si="10"/>
        <v>12.5</v>
      </c>
      <c r="B30">
        <v>13</v>
      </c>
      <c r="C30" s="3" t="s">
        <v>38</v>
      </c>
      <c r="D30" t="str">
        <f t="shared" si="0"/>
        <v>8_gray.jpg</v>
      </c>
      <c r="E30">
        <v>758</v>
      </c>
      <c r="F30">
        <v>180</v>
      </c>
      <c r="G30">
        <v>50</v>
      </c>
      <c r="H30" s="2">
        <f t="shared" si="12"/>
        <v>15.16</v>
      </c>
      <c r="I30">
        <f t="shared" si="13"/>
        <v>3.6</v>
      </c>
      <c r="J30">
        <f t="shared" si="3"/>
        <v>42.882663928622961</v>
      </c>
    </row>
    <row r="31" spans="1:10" x14ac:dyDescent="0.25">
      <c r="A31">
        <f>G31/4</f>
        <v>12.5</v>
      </c>
      <c r="B31">
        <v>13</v>
      </c>
      <c r="C31" s="3" t="s">
        <v>39</v>
      </c>
      <c r="D31" t="str">
        <f t="shared" si="0"/>
        <v>8_personalizada.jpg</v>
      </c>
      <c r="E31">
        <v>758</v>
      </c>
      <c r="F31">
        <v>180</v>
      </c>
      <c r="G31">
        <v>50</v>
      </c>
      <c r="H31" s="2">
        <f t="shared" si="12"/>
        <v>15.16</v>
      </c>
      <c r="I31">
        <f t="shared" si="13"/>
        <v>3.6</v>
      </c>
      <c r="J31">
        <f t="shared" si="3"/>
        <v>42.882663928622961</v>
      </c>
    </row>
    <row r="32" spans="1:10" x14ac:dyDescent="0.25">
      <c r="A32">
        <f>G32/4</f>
        <v>12.5</v>
      </c>
      <c r="B32">
        <v>13</v>
      </c>
      <c r="C32" s="3" t="s">
        <v>40</v>
      </c>
      <c r="D32" t="str">
        <f t="shared" si="0"/>
        <v>8_personalizada2.jpg</v>
      </c>
      <c r="E32">
        <v>758</v>
      </c>
      <c r="F32">
        <v>180</v>
      </c>
      <c r="G32">
        <v>50</v>
      </c>
      <c r="H32" s="2">
        <f t="shared" si="12"/>
        <v>15.16</v>
      </c>
      <c r="I32">
        <f t="shared" si="13"/>
        <v>3.6</v>
      </c>
      <c r="J32">
        <f t="shared" si="3"/>
        <v>42.882663928622961</v>
      </c>
    </row>
    <row r="33" spans="1:10" x14ac:dyDescent="0.25">
      <c r="A33">
        <f>G33/4</f>
        <v>12.5</v>
      </c>
      <c r="B33">
        <v>13</v>
      </c>
      <c r="C33" s="3" t="s">
        <v>41</v>
      </c>
      <c r="D33" t="str">
        <f t="shared" si="0"/>
        <v>8_norte.jpg</v>
      </c>
      <c r="E33">
        <v>758</v>
      </c>
      <c r="F33">
        <v>180</v>
      </c>
      <c r="G33">
        <v>50</v>
      </c>
      <c r="H33" s="2">
        <f t="shared" si="12"/>
        <v>15.16</v>
      </c>
      <c r="I33">
        <f t="shared" si="13"/>
        <v>3.6</v>
      </c>
      <c r="J33">
        <f t="shared" si="3"/>
        <v>42.882663928622961</v>
      </c>
    </row>
    <row r="34" spans="1:10" x14ac:dyDescent="0.25">
      <c r="A34">
        <f t="shared" si="10"/>
        <v>13.25</v>
      </c>
      <c r="B34">
        <v>14</v>
      </c>
      <c r="C34" s="3" t="s">
        <v>42</v>
      </c>
      <c r="D34" t="str">
        <f t="shared" ref="D34:D65" si="14">_xlfn.CONCAT(C34,".jpg")</f>
        <v>9_gray.jpg</v>
      </c>
      <c r="E34">
        <v>871</v>
      </c>
      <c r="F34">
        <v>205</v>
      </c>
      <c r="G34">
        <v>53</v>
      </c>
      <c r="H34" s="2">
        <f t="shared" si="12"/>
        <v>16.433962264150942</v>
      </c>
      <c r="I34">
        <f t="shared" si="13"/>
        <v>3.8679245283018866</v>
      </c>
      <c r="J34">
        <f t="shared" si="3"/>
        <v>54.407510507831624</v>
      </c>
    </row>
    <row r="35" spans="1:10" x14ac:dyDescent="0.25">
      <c r="A35">
        <f>G35/4</f>
        <v>13.25</v>
      </c>
      <c r="B35">
        <v>14</v>
      </c>
      <c r="C35" s="3" t="s">
        <v>43</v>
      </c>
      <c r="D35" t="str">
        <f t="shared" si="14"/>
        <v>9_personalizada.jpg</v>
      </c>
      <c r="E35">
        <v>871</v>
      </c>
      <c r="F35">
        <v>205</v>
      </c>
      <c r="G35">
        <v>53</v>
      </c>
      <c r="H35" s="2">
        <f t="shared" si="12"/>
        <v>16.433962264150942</v>
      </c>
      <c r="I35">
        <f t="shared" si="13"/>
        <v>3.8679245283018866</v>
      </c>
      <c r="J35">
        <f t="shared" si="3"/>
        <v>54.407510507831624</v>
      </c>
    </row>
    <row r="36" spans="1:10" x14ac:dyDescent="0.25">
      <c r="A36">
        <f>G36/4</f>
        <v>13.25</v>
      </c>
      <c r="B36">
        <v>14</v>
      </c>
      <c r="C36" s="3" t="s">
        <v>44</v>
      </c>
      <c r="D36" t="str">
        <f t="shared" si="14"/>
        <v>9_personalizada2.jpg</v>
      </c>
      <c r="E36">
        <v>871</v>
      </c>
      <c r="F36">
        <v>205</v>
      </c>
      <c r="G36">
        <v>53</v>
      </c>
      <c r="H36" s="2">
        <f t="shared" si="12"/>
        <v>16.433962264150942</v>
      </c>
      <c r="I36">
        <f t="shared" si="13"/>
        <v>3.8679245283018866</v>
      </c>
      <c r="J36">
        <f t="shared" si="3"/>
        <v>54.407510507831624</v>
      </c>
    </row>
    <row r="37" spans="1:10" x14ac:dyDescent="0.25">
      <c r="A37">
        <f>G37/4</f>
        <v>13.25</v>
      </c>
      <c r="B37">
        <v>14</v>
      </c>
      <c r="C37" s="3" t="s">
        <v>45</v>
      </c>
      <c r="D37" t="str">
        <f t="shared" si="14"/>
        <v>9_norte.jpg</v>
      </c>
      <c r="E37">
        <v>871</v>
      </c>
      <c r="F37">
        <v>205</v>
      </c>
      <c r="G37">
        <v>53</v>
      </c>
      <c r="H37" s="2">
        <f t="shared" si="12"/>
        <v>16.433962264150942</v>
      </c>
      <c r="I37">
        <f t="shared" si="13"/>
        <v>3.8679245283018866</v>
      </c>
      <c r="J37">
        <f t="shared" si="3"/>
        <v>54.407510507831624</v>
      </c>
    </row>
    <row r="38" spans="1:10" x14ac:dyDescent="0.25">
      <c r="A38">
        <f t="shared" si="10"/>
        <v>13</v>
      </c>
      <c r="B38">
        <v>13</v>
      </c>
      <c r="C38" s="3" t="s">
        <v>46</v>
      </c>
      <c r="D38" t="str">
        <f t="shared" si="14"/>
        <v>10_gray.jpg</v>
      </c>
      <c r="E38">
        <v>825</v>
      </c>
      <c r="F38">
        <v>182</v>
      </c>
      <c r="G38">
        <v>52</v>
      </c>
      <c r="H38" s="2">
        <f t="shared" si="12"/>
        <v>15.865384615384615</v>
      </c>
      <c r="I38">
        <f t="shared" si="13"/>
        <v>3.5</v>
      </c>
      <c r="J38">
        <f t="shared" si="3"/>
        <v>49.039766896080195</v>
      </c>
    </row>
    <row r="39" spans="1:10" x14ac:dyDescent="0.25">
      <c r="A39">
        <f>G39/4</f>
        <v>13</v>
      </c>
      <c r="B39">
        <v>13</v>
      </c>
      <c r="C39" s="3" t="s">
        <v>47</v>
      </c>
      <c r="D39" t="str">
        <f t="shared" si="14"/>
        <v>10_personalizada.jpg</v>
      </c>
      <c r="E39">
        <v>825</v>
      </c>
      <c r="F39">
        <v>182</v>
      </c>
      <c r="G39">
        <v>52</v>
      </c>
      <c r="H39" s="2">
        <f t="shared" si="12"/>
        <v>15.865384615384615</v>
      </c>
      <c r="I39">
        <f t="shared" si="13"/>
        <v>3.5</v>
      </c>
      <c r="J39">
        <f t="shared" si="3"/>
        <v>49.039766896080195</v>
      </c>
    </row>
    <row r="40" spans="1:10" x14ac:dyDescent="0.25">
      <c r="A40">
        <f>G40/4</f>
        <v>13</v>
      </c>
      <c r="B40">
        <v>13</v>
      </c>
      <c r="C40" s="3" t="s">
        <v>48</v>
      </c>
      <c r="D40" t="str">
        <f t="shared" si="14"/>
        <v>10_personalizada2.jpg</v>
      </c>
      <c r="E40">
        <v>825</v>
      </c>
      <c r="F40">
        <v>182</v>
      </c>
      <c r="G40">
        <v>52</v>
      </c>
      <c r="H40" s="2">
        <f t="shared" si="12"/>
        <v>15.865384615384615</v>
      </c>
      <c r="I40">
        <f t="shared" si="13"/>
        <v>3.5</v>
      </c>
      <c r="J40">
        <f t="shared" si="3"/>
        <v>49.039766896080195</v>
      </c>
    </row>
    <row r="41" spans="1:10" x14ac:dyDescent="0.25">
      <c r="A41">
        <f>G41/4</f>
        <v>13</v>
      </c>
      <c r="B41">
        <v>13</v>
      </c>
      <c r="C41" s="3" t="s">
        <v>49</v>
      </c>
      <c r="D41" t="str">
        <f t="shared" si="14"/>
        <v>10_norte.jpg</v>
      </c>
      <c r="E41">
        <v>825</v>
      </c>
      <c r="F41">
        <v>182</v>
      </c>
      <c r="G41">
        <v>52</v>
      </c>
      <c r="H41" s="2">
        <f t="shared" si="12"/>
        <v>15.865384615384615</v>
      </c>
      <c r="I41">
        <f t="shared" si="13"/>
        <v>3.5</v>
      </c>
      <c r="J41">
        <f t="shared" si="3"/>
        <v>49.039766896080195</v>
      </c>
    </row>
    <row r="42" spans="1:10" x14ac:dyDescent="0.25">
      <c r="A42">
        <f t="shared" si="10"/>
        <v>21.5</v>
      </c>
      <c r="B42">
        <v>22</v>
      </c>
      <c r="C42" s="3" t="s">
        <v>50</v>
      </c>
      <c r="D42" t="str">
        <f t="shared" si="14"/>
        <v>11_gray.jpg</v>
      </c>
      <c r="E42">
        <v>936</v>
      </c>
      <c r="F42">
        <v>197</v>
      </c>
      <c r="G42">
        <v>86</v>
      </c>
      <c r="H42" s="2">
        <f t="shared" si="12"/>
        <v>10.883720930232558</v>
      </c>
      <c r="I42">
        <f t="shared" si="13"/>
        <v>2.2906976744186047</v>
      </c>
      <c r="J42">
        <f t="shared" si="3"/>
        <v>16.132899755964296</v>
      </c>
    </row>
    <row r="43" spans="1:10" x14ac:dyDescent="0.25">
      <c r="A43">
        <f>G43/4</f>
        <v>21.5</v>
      </c>
      <c r="B43">
        <v>22</v>
      </c>
      <c r="C43" s="3" t="s">
        <v>51</v>
      </c>
      <c r="D43" t="str">
        <f t="shared" si="14"/>
        <v>11_personalizada.jpg</v>
      </c>
      <c r="E43">
        <v>936</v>
      </c>
      <c r="F43">
        <v>197</v>
      </c>
      <c r="G43">
        <v>86</v>
      </c>
      <c r="H43" s="2">
        <f t="shared" si="12"/>
        <v>10.883720930232558</v>
      </c>
      <c r="I43">
        <f t="shared" si="13"/>
        <v>2.2906976744186047</v>
      </c>
      <c r="J43">
        <f t="shared" si="3"/>
        <v>16.132899755964296</v>
      </c>
    </row>
    <row r="44" spans="1:10" x14ac:dyDescent="0.25">
      <c r="A44">
        <f>G44/4</f>
        <v>21.5</v>
      </c>
      <c r="B44">
        <v>22</v>
      </c>
      <c r="C44" s="3" t="s">
        <v>52</v>
      </c>
      <c r="D44" t="str">
        <f t="shared" si="14"/>
        <v>11_personalizada2.jpg</v>
      </c>
      <c r="E44">
        <v>936</v>
      </c>
      <c r="F44">
        <v>197</v>
      </c>
      <c r="G44">
        <v>86</v>
      </c>
      <c r="H44" s="2">
        <f t="shared" si="12"/>
        <v>10.883720930232558</v>
      </c>
      <c r="I44">
        <f t="shared" si="13"/>
        <v>2.2906976744186047</v>
      </c>
      <c r="J44">
        <f t="shared" si="3"/>
        <v>16.132899755964296</v>
      </c>
    </row>
    <row r="45" spans="1:10" x14ac:dyDescent="0.25">
      <c r="A45">
        <f>G45/4</f>
        <v>21.5</v>
      </c>
      <c r="B45">
        <v>22</v>
      </c>
      <c r="C45" s="3" t="s">
        <v>53</v>
      </c>
      <c r="D45" t="str">
        <f t="shared" si="14"/>
        <v>11_norte.jpg</v>
      </c>
      <c r="E45">
        <v>936</v>
      </c>
      <c r="F45">
        <v>197</v>
      </c>
      <c r="G45">
        <v>86</v>
      </c>
      <c r="H45" s="2">
        <f t="shared" si="12"/>
        <v>10.883720930232558</v>
      </c>
      <c r="I45">
        <f t="shared" si="13"/>
        <v>2.2906976744186047</v>
      </c>
      <c r="J45">
        <f t="shared" si="3"/>
        <v>16.132899755964296</v>
      </c>
    </row>
    <row r="46" spans="1:10" x14ac:dyDescent="0.25">
      <c r="A46">
        <f t="shared" si="10"/>
        <v>15</v>
      </c>
      <c r="B46">
        <v>15</v>
      </c>
      <c r="C46" s="3" t="s">
        <v>54</v>
      </c>
      <c r="D46" t="str">
        <f t="shared" si="14"/>
        <v>12_gray.jpg</v>
      </c>
      <c r="E46">
        <v>988</v>
      </c>
      <c r="F46">
        <v>224</v>
      </c>
      <c r="G46">
        <v>60</v>
      </c>
      <c r="H46" s="2">
        <f t="shared" si="12"/>
        <v>16.466666666666665</v>
      </c>
      <c r="I46">
        <f t="shared" si="13"/>
        <v>3.7333333333333334</v>
      </c>
      <c r="J46">
        <f t="shared" si="3"/>
        <v>54.727537919452871</v>
      </c>
    </row>
    <row r="47" spans="1:10" x14ac:dyDescent="0.25">
      <c r="A47">
        <f>G47/4</f>
        <v>15</v>
      </c>
      <c r="B47">
        <v>15</v>
      </c>
      <c r="C47" s="3" t="s">
        <v>55</v>
      </c>
      <c r="D47" t="str">
        <f t="shared" si="14"/>
        <v>12_personalizada.jpg</v>
      </c>
      <c r="E47">
        <v>988</v>
      </c>
      <c r="F47">
        <v>224</v>
      </c>
      <c r="G47">
        <v>60</v>
      </c>
      <c r="H47" s="2">
        <f t="shared" si="12"/>
        <v>16.466666666666665</v>
      </c>
      <c r="I47">
        <f t="shared" si="13"/>
        <v>3.7333333333333334</v>
      </c>
      <c r="J47">
        <f t="shared" si="3"/>
        <v>54.727537919452871</v>
      </c>
    </row>
    <row r="48" spans="1:10" x14ac:dyDescent="0.25">
      <c r="A48">
        <f>G48/4</f>
        <v>15</v>
      </c>
      <c r="B48">
        <v>15</v>
      </c>
      <c r="C48" s="3" t="s">
        <v>56</v>
      </c>
      <c r="D48" t="str">
        <f t="shared" si="14"/>
        <v>12_personalizada2.jpg</v>
      </c>
      <c r="E48">
        <v>988</v>
      </c>
      <c r="F48">
        <v>224</v>
      </c>
      <c r="G48">
        <v>60</v>
      </c>
      <c r="H48" s="2">
        <f t="shared" si="12"/>
        <v>16.466666666666665</v>
      </c>
      <c r="I48">
        <f t="shared" si="13"/>
        <v>3.7333333333333334</v>
      </c>
      <c r="J48">
        <f t="shared" si="3"/>
        <v>54.727537919452871</v>
      </c>
    </row>
    <row r="49" spans="1:10" x14ac:dyDescent="0.25">
      <c r="A49">
        <f>G49/4</f>
        <v>15</v>
      </c>
      <c r="B49">
        <v>15</v>
      </c>
      <c r="C49" s="3" t="s">
        <v>57</v>
      </c>
      <c r="D49" t="str">
        <f t="shared" si="14"/>
        <v>12_norte.jpg</v>
      </c>
      <c r="E49">
        <v>988</v>
      </c>
      <c r="F49">
        <v>224</v>
      </c>
      <c r="G49">
        <v>60</v>
      </c>
      <c r="H49" s="2">
        <f t="shared" si="12"/>
        <v>16.466666666666665</v>
      </c>
      <c r="I49">
        <f t="shared" si="13"/>
        <v>3.7333333333333334</v>
      </c>
      <c r="J49">
        <f t="shared" si="3"/>
        <v>54.727537919452871</v>
      </c>
    </row>
    <row r="50" spans="1:10" x14ac:dyDescent="0.25">
      <c r="A50">
        <f t="shared" si="10"/>
        <v>13.75</v>
      </c>
      <c r="B50">
        <v>14</v>
      </c>
      <c r="C50" s="3" t="s">
        <v>58</v>
      </c>
      <c r="D50" t="str">
        <f t="shared" si="14"/>
        <v>13_gray.jpg</v>
      </c>
      <c r="E50">
        <v>972</v>
      </c>
      <c r="F50">
        <v>239</v>
      </c>
      <c r="G50">
        <v>55</v>
      </c>
      <c r="H50" s="2">
        <f t="shared" si="12"/>
        <v>17.672727272727272</v>
      </c>
      <c r="I50">
        <f t="shared" si="13"/>
        <v>4.3454545454545457</v>
      </c>
      <c r="J50">
        <f t="shared" si="3"/>
        <v>67.416260674879709</v>
      </c>
    </row>
    <row r="51" spans="1:10" x14ac:dyDescent="0.25">
      <c r="A51">
        <f>G51/4</f>
        <v>13.75</v>
      </c>
      <c r="B51">
        <v>14</v>
      </c>
      <c r="C51" s="3" t="s">
        <v>59</v>
      </c>
      <c r="D51" t="str">
        <f t="shared" si="14"/>
        <v>13_personalizada.jpg</v>
      </c>
      <c r="E51">
        <v>972</v>
      </c>
      <c r="F51">
        <v>239</v>
      </c>
      <c r="G51">
        <v>55</v>
      </c>
      <c r="H51" s="2">
        <f t="shared" si="12"/>
        <v>17.672727272727272</v>
      </c>
      <c r="I51">
        <f t="shared" si="13"/>
        <v>4.3454545454545457</v>
      </c>
      <c r="J51">
        <f t="shared" si="3"/>
        <v>67.416260674879709</v>
      </c>
    </row>
    <row r="52" spans="1:10" x14ac:dyDescent="0.25">
      <c r="A52">
        <f>G52/4</f>
        <v>13.75</v>
      </c>
      <c r="B52">
        <v>14</v>
      </c>
      <c r="C52" s="3" t="s">
        <v>60</v>
      </c>
      <c r="D52" t="str">
        <f t="shared" si="14"/>
        <v>13_personalizada2.jpg</v>
      </c>
      <c r="E52">
        <v>972</v>
      </c>
      <c r="F52">
        <v>239</v>
      </c>
      <c r="G52">
        <v>55</v>
      </c>
      <c r="H52" s="2">
        <f t="shared" si="12"/>
        <v>17.672727272727272</v>
      </c>
      <c r="I52">
        <f t="shared" si="13"/>
        <v>4.3454545454545457</v>
      </c>
      <c r="J52">
        <f t="shared" si="3"/>
        <v>67.416260674879709</v>
      </c>
    </row>
    <row r="53" spans="1:10" x14ac:dyDescent="0.25">
      <c r="A53">
        <f>G53/4</f>
        <v>13.75</v>
      </c>
      <c r="B53">
        <v>14</v>
      </c>
      <c r="C53" s="3" t="s">
        <v>61</v>
      </c>
      <c r="D53" t="str">
        <f t="shared" si="14"/>
        <v>13_norte.jpg</v>
      </c>
      <c r="E53">
        <v>972</v>
      </c>
      <c r="F53">
        <v>239</v>
      </c>
      <c r="G53">
        <v>55</v>
      </c>
      <c r="H53" s="2">
        <f t="shared" si="12"/>
        <v>17.672727272727272</v>
      </c>
      <c r="I53">
        <f t="shared" si="13"/>
        <v>4.3454545454545457</v>
      </c>
      <c r="J53">
        <f t="shared" si="3"/>
        <v>67.416260674879709</v>
      </c>
    </row>
    <row r="54" spans="1:10" x14ac:dyDescent="0.25">
      <c r="A54">
        <f t="shared" si="10"/>
        <v>17.5</v>
      </c>
      <c r="B54">
        <v>18</v>
      </c>
      <c r="C54" s="3" t="s">
        <v>62</v>
      </c>
      <c r="D54" t="str">
        <f t="shared" si="14"/>
        <v>14_gray.jpg</v>
      </c>
      <c r="E54">
        <v>880</v>
      </c>
      <c r="F54">
        <v>223</v>
      </c>
      <c r="G54">
        <v>70</v>
      </c>
      <c r="H54" s="2">
        <f t="shared" ref="H54:H85" si="15">E54/G54</f>
        <v>12.571428571428571</v>
      </c>
      <c r="I54">
        <f t="shared" ref="I54:I85" si="16">F54/G54</f>
        <v>3.1857142857142855</v>
      </c>
      <c r="J54">
        <f t="shared" si="3"/>
        <v>24.683331589550246</v>
      </c>
    </row>
    <row r="55" spans="1:10" x14ac:dyDescent="0.25">
      <c r="A55">
        <f>G55/4</f>
        <v>17.5</v>
      </c>
      <c r="B55">
        <v>18</v>
      </c>
      <c r="C55" s="3" t="s">
        <v>63</v>
      </c>
      <c r="D55" t="str">
        <f t="shared" si="14"/>
        <v>14_personalizada.jpg</v>
      </c>
      <c r="E55">
        <v>880</v>
      </c>
      <c r="F55">
        <v>223</v>
      </c>
      <c r="G55">
        <v>70</v>
      </c>
      <c r="H55" s="2">
        <f t="shared" si="15"/>
        <v>12.571428571428571</v>
      </c>
      <c r="I55">
        <f t="shared" si="16"/>
        <v>3.1857142857142855</v>
      </c>
      <c r="J55">
        <f t="shared" si="3"/>
        <v>24.683331589550246</v>
      </c>
    </row>
    <row r="56" spans="1:10" x14ac:dyDescent="0.25">
      <c r="A56">
        <f>G56/4</f>
        <v>17.5</v>
      </c>
      <c r="B56">
        <v>18</v>
      </c>
      <c r="C56" s="3" t="s">
        <v>64</v>
      </c>
      <c r="D56" t="str">
        <f t="shared" si="14"/>
        <v>14_personalizada2.jpg</v>
      </c>
      <c r="E56">
        <v>880</v>
      </c>
      <c r="F56">
        <v>223</v>
      </c>
      <c r="G56">
        <v>70</v>
      </c>
      <c r="H56" s="2">
        <f t="shared" si="15"/>
        <v>12.571428571428571</v>
      </c>
      <c r="I56">
        <f t="shared" si="16"/>
        <v>3.1857142857142855</v>
      </c>
      <c r="J56">
        <f t="shared" si="3"/>
        <v>24.683331589550246</v>
      </c>
    </row>
    <row r="57" spans="1:10" x14ac:dyDescent="0.25">
      <c r="A57">
        <f>G57/4</f>
        <v>17.5</v>
      </c>
      <c r="B57">
        <v>18</v>
      </c>
      <c r="C57" s="3" t="s">
        <v>65</v>
      </c>
      <c r="D57" t="str">
        <f t="shared" si="14"/>
        <v>14_norte.jpg</v>
      </c>
      <c r="E57">
        <v>880</v>
      </c>
      <c r="F57">
        <v>223</v>
      </c>
      <c r="G57">
        <v>70</v>
      </c>
      <c r="H57" s="2">
        <f t="shared" si="15"/>
        <v>12.571428571428571</v>
      </c>
      <c r="I57">
        <f t="shared" si="16"/>
        <v>3.1857142857142855</v>
      </c>
      <c r="J57">
        <f t="shared" si="3"/>
        <v>24.683331589550246</v>
      </c>
    </row>
    <row r="58" spans="1:10" x14ac:dyDescent="0.25">
      <c r="A58">
        <f t="shared" si="10"/>
        <v>17.75</v>
      </c>
      <c r="B58">
        <v>18</v>
      </c>
      <c r="C58" s="3" t="s">
        <v>66</v>
      </c>
      <c r="D58" t="str">
        <f t="shared" si="14"/>
        <v>15_gray.jpg</v>
      </c>
      <c r="E58">
        <v>1018</v>
      </c>
      <c r="F58">
        <v>236</v>
      </c>
      <c r="G58">
        <v>71</v>
      </c>
      <c r="H58" s="2">
        <f t="shared" si="15"/>
        <v>14.338028169014084</v>
      </c>
      <c r="I58">
        <f t="shared" si="16"/>
        <v>3.323943661971831</v>
      </c>
      <c r="J58">
        <f t="shared" si="3"/>
        <v>36.380019627597726</v>
      </c>
    </row>
    <row r="59" spans="1:10" x14ac:dyDescent="0.25">
      <c r="A59">
        <f>G59/4</f>
        <v>17.75</v>
      </c>
      <c r="B59">
        <v>18</v>
      </c>
      <c r="C59" s="3" t="s">
        <v>67</v>
      </c>
      <c r="D59" t="str">
        <f t="shared" si="14"/>
        <v>15_personalizada.jpg</v>
      </c>
      <c r="E59">
        <v>1018</v>
      </c>
      <c r="F59">
        <v>236</v>
      </c>
      <c r="G59">
        <v>71</v>
      </c>
      <c r="H59" s="2">
        <f t="shared" si="15"/>
        <v>14.338028169014084</v>
      </c>
      <c r="I59">
        <f t="shared" si="16"/>
        <v>3.323943661971831</v>
      </c>
      <c r="J59">
        <f t="shared" si="3"/>
        <v>36.380019627597726</v>
      </c>
    </row>
    <row r="60" spans="1:10" x14ac:dyDescent="0.25">
      <c r="A60">
        <f>G60/4</f>
        <v>17.75</v>
      </c>
      <c r="B60">
        <v>18</v>
      </c>
      <c r="C60" s="3" t="s">
        <v>68</v>
      </c>
      <c r="D60" t="str">
        <f t="shared" si="14"/>
        <v>15_personalizada2.jpg</v>
      </c>
      <c r="E60">
        <v>1018</v>
      </c>
      <c r="F60">
        <v>236</v>
      </c>
      <c r="G60">
        <v>71</v>
      </c>
      <c r="H60" s="2">
        <f t="shared" si="15"/>
        <v>14.338028169014084</v>
      </c>
      <c r="I60">
        <f t="shared" si="16"/>
        <v>3.323943661971831</v>
      </c>
      <c r="J60">
        <f t="shared" si="3"/>
        <v>36.380019627597726</v>
      </c>
    </row>
    <row r="61" spans="1:10" x14ac:dyDescent="0.25">
      <c r="A61">
        <f>G61/4</f>
        <v>17.75</v>
      </c>
      <c r="B61">
        <v>18</v>
      </c>
      <c r="C61" s="3" t="s">
        <v>69</v>
      </c>
      <c r="D61" t="str">
        <f t="shared" si="14"/>
        <v>15_norte.jpg</v>
      </c>
      <c r="E61">
        <v>1018</v>
      </c>
      <c r="F61">
        <v>236</v>
      </c>
      <c r="G61">
        <v>71</v>
      </c>
      <c r="H61" s="2">
        <f t="shared" si="15"/>
        <v>14.338028169014084</v>
      </c>
      <c r="I61">
        <f t="shared" si="16"/>
        <v>3.323943661971831</v>
      </c>
      <c r="J61">
        <f t="shared" si="3"/>
        <v>36.380019627597726</v>
      </c>
    </row>
    <row r="62" spans="1:10" x14ac:dyDescent="0.25">
      <c r="A62">
        <f t="shared" si="10"/>
        <v>14.25</v>
      </c>
      <c r="B62">
        <v>15</v>
      </c>
      <c r="C62" s="3" t="s">
        <v>70</v>
      </c>
      <c r="D62" t="str">
        <f t="shared" si="14"/>
        <v>16_gray.jpg</v>
      </c>
      <c r="E62">
        <v>835</v>
      </c>
      <c r="F62">
        <v>202</v>
      </c>
      <c r="G62">
        <v>57</v>
      </c>
      <c r="H62" s="2">
        <f t="shared" si="15"/>
        <v>14.649122807017545</v>
      </c>
      <c r="I62">
        <f t="shared" si="16"/>
        <v>3.5438596491228069</v>
      </c>
      <c r="J62">
        <f t="shared" si="3"/>
        <v>38.758181407089616</v>
      </c>
    </row>
    <row r="63" spans="1:10" x14ac:dyDescent="0.25">
      <c r="A63">
        <f>G63/4</f>
        <v>14.25</v>
      </c>
      <c r="B63">
        <v>15</v>
      </c>
      <c r="C63" s="3" t="s">
        <v>71</v>
      </c>
      <c r="D63" t="str">
        <f t="shared" si="14"/>
        <v>16_personalizada.jpg</v>
      </c>
      <c r="E63">
        <v>835</v>
      </c>
      <c r="F63">
        <v>202</v>
      </c>
      <c r="G63">
        <v>57</v>
      </c>
      <c r="H63" s="2">
        <f t="shared" si="15"/>
        <v>14.649122807017545</v>
      </c>
      <c r="I63">
        <f t="shared" si="16"/>
        <v>3.5438596491228069</v>
      </c>
      <c r="J63">
        <f t="shared" si="3"/>
        <v>38.758181407089616</v>
      </c>
    </row>
    <row r="64" spans="1:10" x14ac:dyDescent="0.25">
      <c r="A64">
        <f>G64/4</f>
        <v>14.25</v>
      </c>
      <c r="B64">
        <v>15</v>
      </c>
      <c r="C64" s="3" t="s">
        <v>72</v>
      </c>
      <c r="D64" t="str">
        <f t="shared" si="14"/>
        <v>16_personalizada2.jpg</v>
      </c>
      <c r="E64">
        <v>835</v>
      </c>
      <c r="F64">
        <v>202</v>
      </c>
      <c r="G64">
        <v>57</v>
      </c>
      <c r="H64" s="2">
        <f t="shared" si="15"/>
        <v>14.649122807017545</v>
      </c>
      <c r="I64">
        <f t="shared" si="16"/>
        <v>3.5438596491228069</v>
      </c>
      <c r="J64">
        <f t="shared" si="3"/>
        <v>38.758181407089616</v>
      </c>
    </row>
    <row r="65" spans="1:10" x14ac:dyDescent="0.25">
      <c r="A65">
        <f>G65/4</f>
        <v>14.25</v>
      </c>
      <c r="B65">
        <v>15</v>
      </c>
      <c r="C65" s="3" t="s">
        <v>73</v>
      </c>
      <c r="D65" t="str">
        <f t="shared" si="14"/>
        <v>16_norte.jpg</v>
      </c>
      <c r="E65">
        <v>835</v>
      </c>
      <c r="F65">
        <v>202</v>
      </c>
      <c r="G65">
        <v>57</v>
      </c>
      <c r="H65" s="2">
        <f t="shared" si="15"/>
        <v>14.649122807017545</v>
      </c>
      <c r="I65">
        <f t="shared" si="16"/>
        <v>3.5438596491228069</v>
      </c>
      <c r="J65">
        <f t="shared" si="3"/>
        <v>38.758181407089616</v>
      </c>
    </row>
    <row r="66" spans="1:10" x14ac:dyDescent="0.25">
      <c r="A66">
        <f t="shared" si="10"/>
        <v>14</v>
      </c>
      <c r="B66">
        <v>14</v>
      </c>
      <c r="C66" s="3" t="s">
        <v>74</v>
      </c>
      <c r="D66" t="str">
        <f t="shared" ref="D66:D97" si="17">_xlfn.CONCAT(C66,".jpg")</f>
        <v>17_gray.jpg</v>
      </c>
      <c r="E66">
        <v>856</v>
      </c>
      <c r="F66">
        <v>199</v>
      </c>
      <c r="G66">
        <v>56</v>
      </c>
      <c r="H66" s="2">
        <f t="shared" si="15"/>
        <v>15.285714285714286</v>
      </c>
      <c r="I66">
        <f t="shared" si="16"/>
        <v>3.5535714285714284</v>
      </c>
      <c r="J66">
        <f t="shared" si="3"/>
        <v>43.940200955434513</v>
      </c>
    </row>
    <row r="67" spans="1:10" x14ac:dyDescent="0.25">
      <c r="A67">
        <f>G67/4</f>
        <v>14</v>
      </c>
      <c r="B67">
        <v>14</v>
      </c>
      <c r="C67" s="3" t="s">
        <v>75</v>
      </c>
      <c r="D67" t="str">
        <f t="shared" si="17"/>
        <v>17_personalizada.jpg</v>
      </c>
      <c r="E67">
        <v>856</v>
      </c>
      <c r="F67">
        <v>199</v>
      </c>
      <c r="G67">
        <v>56</v>
      </c>
      <c r="H67" s="2">
        <f t="shared" si="15"/>
        <v>15.285714285714286</v>
      </c>
      <c r="I67">
        <f t="shared" si="16"/>
        <v>3.5535714285714284</v>
      </c>
      <c r="J67">
        <f t="shared" si="3"/>
        <v>43.940200955434513</v>
      </c>
    </row>
    <row r="68" spans="1:10" x14ac:dyDescent="0.25">
      <c r="A68">
        <f>G68/4</f>
        <v>14</v>
      </c>
      <c r="B68">
        <v>14</v>
      </c>
      <c r="C68" s="3" t="s">
        <v>76</v>
      </c>
      <c r="D68" t="str">
        <f t="shared" si="17"/>
        <v>17_personalizada2.jpg</v>
      </c>
      <c r="E68">
        <v>856</v>
      </c>
      <c r="F68">
        <v>199</v>
      </c>
      <c r="G68">
        <v>56</v>
      </c>
      <c r="H68" s="2">
        <f t="shared" si="15"/>
        <v>15.285714285714286</v>
      </c>
      <c r="I68">
        <f t="shared" si="16"/>
        <v>3.5535714285714284</v>
      </c>
      <c r="J68">
        <f t="shared" ref="J68:J121" si="18">PRODUCT(0.0141, POWER(H68,2.95))</f>
        <v>43.940200955434513</v>
      </c>
    </row>
    <row r="69" spans="1:10" x14ac:dyDescent="0.25">
      <c r="A69">
        <f>G69/4</f>
        <v>14</v>
      </c>
      <c r="B69">
        <v>14</v>
      </c>
      <c r="C69" s="3" t="s">
        <v>77</v>
      </c>
      <c r="D69" t="str">
        <f t="shared" si="17"/>
        <v>17_norte.jpg</v>
      </c>
      <c r="E69">
        <v>856</v>
      </c>
      <c r="F69">
        <v>199</v>
      </c>
      <c r="G69">
        <v>56</v>
      </c>
      <c r="H69" s="2">
        <f t="shared" si="15"/>
        <v>15.285714285714286</v>
      </c>
      <c r="I69">
        <f t="shared" si="16"/>
        <v>3.5535714285714284</v>
      </c>
      <c r="J69">
        <f t="shared" si="18"/>
        <v>43.940200955434513</v>
      </c>
    </row>
    <row r="70" spans="1:10" x14ac:dyDescent="0.25">
      <c r="A70">
        <f t="shared" si="10"/>
        <v>14.5</v>
      </c>
      <c r="B70">
        <v>15</v>
      </c>
      <c r="C70" s="3" t="s">
        <v>78</v>
      </c>
      <c r="D70" t="str">
        <f t="shared" si="17"/>
        <v>18_gray.jpg</v>
      </c>
      <c r="E70">
        <v>907</v>
      </c>
      <c r="F70">
        <v>211</v>
      </c>
      <c r="G70">
        <v>58</v>
      </c>
      <c r="H70" s="2">
        <f t="shared" si="15"/>
        <v>15.637931034482758</v>
      </c>
      <c r="I70">
        <f t="shared" si="16"/>
        <v>3.6379310344827585</v>
      </c>
      <c r="J70">
        <f t="shared" si="18"/>
        <v>46.994607690076698</v>
      </c>
    </row>
    <row r="71" spans="1:10" x14ac:dyDescent="0.25">
      <c r="A71">
        <f>G71/4</f>
        <v>14.5</v>
      </c>
      <c r="B71">
        <v>15</v>
      </c>
      <c r="C71" s="3" t="s">
        <v>79</v>
      </c>
      <c r="D71" t="str">
        <f t="shared" si="17"/>
        <v>18_personalizada.jpg</v>
      </c>
      <c r="E71">
        <v>907</v>
      </c>
      <c r="F71">
        <v>211</v>
      </c>
      <c r="G71">
        <v>58</v>
      </c>
      <c r="H71" s="2">
        <f t="shared" si="15"/>
        <v>15.637931034482758</v>
      </c>
      <c r="I71">
        <f t="shared" si="16"/>
        <v>3.6379310344827585</v>
      </c>
      <c r="J71">
        <f t="shared" si="18"/>
        <v>46.994607690076698</v>
      </c>
    </row>
    <row r="72" spans="1:10" x14ac:dyDescent="0.25">
      <c r="A72">
        <f>G72/4</f>
        <v>14.5</v>
      </c>
      <c r="B72">
        <v>15</v>
      </c>
      <c r="C72" s="3" t="s">
        <v>80</v>
      </c>
      <c r="D72" t="str">
        <f t="shared" si="17"/>
        <v>18_personalizada2.jpg</v>
      </c>
      <c r="E72">
        <v>907</v>
      </c>
      <c r="F72">
        <v>211</v>
      </c>
      <c r="G72">
        <v>58</v>
      </c>
      <c r="H72" s="2">
        <f t="shared" si="15"/>
        <v>15.637931034482758</v>
      </c>
      <c r="I72">
        <f t="shared" si="16"/>
        <v>3.6379310344827585</v>
      </c>
      <c r="J72">
        <f t="shared" si="18"/>
        <v>46.994607690076698</v>
      </c>
    </row>
    <row r="73" spans="1:10" x14ac:dyDescent="0.25">
      <c r="A73">
        <f>G73/4</f>
        <v>14.5</v>
      </c>
      <c r="B73">
        <v>15</v>
      </c>
      <c r="C73" s="3" t="s">
        <v>81</v>
      </c>
      <c r="D73" t="str">
        <f t="shared" si="17"/>
        <v>18_norte.jpg</v>
      </c>
      <c r="E73">
        <v>907</v>
      </c>
      <c r="F73">
        <v>211</v>
      </c>
      <c r="G73">
        <v>58</v>
      </c>
      <c r="H73" s="2">
        <f t="shared" si="15"/>
        <v>15.637931034482758</v>
      </c>
      <c r="I73">
        <f t="shared" si="16"/>
        <v>3.6379310344827585</v>
      </c>
      <c r="J73">
        <f t="shared" si="18"/>
        <v>46.994607690076698</v>
      </c>
    </row>
    <row r="74" spans="1:10" x14ac:dyDescent="0.25">
      <c r="A74">
        <f t="shared" si="10"/>
        <v>14.75</v>
      </c>
      <c r="B74">
        <v>15</v>
      </c>
      <c r="C74" s="3" t="s">
        <v>82</v>
      </c>
      <c r="D74" t="str">
        <f t="shared" si="17"/>
        <v>19_gray.jpg</v>
      </c>
      <c r="E74">
        <v>931</v>
      </c>
      <c r="F74">
        <v>235</v>
      </c>
      <c r="G74">
        <v>59</v>
      </c>
      <c r="H74" s="2">
        <f t="shared" si="15"/>
        <v>15.779661016949152</v>
      </c>
      <c r="I74">
        <f t="shared" si="16"/>
        <v>3.9830508474576272</v>
      </c>
      <c r="J74">
        <f t="shared" si="18"/>
        <v>48.26221357532102</v>
      </c>
    </row>
    <row r="75" spans="1:10" x14ac:dyDescent="0.25">
      <c r="A75">
        <f>G75/4</f>
        <v>14.75</v>
      </c>
      <c r="B75">
        <v>15</v>
      </c>
      <c r="C75" s="3" t="s">
        <v>83</v>
      </c>
      <c r="D75" t="str">
        <f t="shared" si="17"/>
        <v>19_personalizada.jpg</v>
      </c>
      <c r="E75">
        <v>931</v>
      </c>
      <c r="F75">
        <v>235</v>
      </c>
      <c r="G75">
        <v>59</v>
      </c>
      <c r="H75" s="2">
        <f t="shared" si="15"/>
        <v>15.779661016949152</v>
      </c>
      <c r="I75">
        <f t="shared" si="16"/>
        <v>3.9830508474576272</v>
      </c>
      <c r="J75">
        <f t="shared" si="18"/>
        <v>48.26221357532102</v>
      </c>
    </row>
    <row r="76" spans="1:10" x14ac:dyDescent="0.25">
      <c r="A76">
        <f>G76/4</f>
        <v>14.75</v>
      </c>
      <c r="B76">
        <v>15</v>
      </c>
      <c r="C76" s="3" t="s">
        <v>84</v>
      </c>
      <c r="D76" t="str">
        <f t="shared" si="17"/>
        <v>19_personalizada2.jpg</v>
      </c>
      <c r="E76">
        <v>931</v>
      </c>
      <c r="F76">
        <v>235</v>
      </c>
      <c r="G76">
        <v>59</v>
      </c>
      <c r="H76" s="2">
        <f t="shared" si="15"/>
        <v>15.779661016949152</v>
      </c>
      <c r="I76">
        <f t="shared" si="16"/>
        <v>3.9830508474576272</v>
      </c>
      <c r="J76">
        <f t="shared" si="18"/>
        <v>48.26221357532102</v>
      </c>
    </row>
    <row r="77" spans="1:10" x14ac:dyDescent="0.25">
      <c r="A77">
        <f>G77/4</f>
        <v>14.75</v>
      </c>
      <c r="B77">
        <v>15</v>
      </c>
      <c r="C77" s="3" t="s">
        <v>85</v>
      </c>
      <c r="D77" t="str">
        <f t="shared" si="17"/>
        <v>19_norte.jpg</v>
      </c>
      <c r="E77">
        <v>931</v>
      </c>
      <c r="F77">
        <v>235</v>
      </c>
      <c r="G77">
        <v>59</v>
      </c>
      <c r="H77" s="2">
        <f t="shared" si="15"/>
        <v>15.779661016949152</v>
      </c>
      <c r="I77">
        <f t="shared" si="16"/>
        <v>3.9830508474576272</v>
      </c>
      <c r="J77">
        <f t="shared" si="18"/>
        <v>48.26221357532102</v>
      </c>
    </row>
    <row r="78" spans="1:10" x14ac:dyDescent="0.25">
      <c r="A78">
        <f t="shared" si="10"/>
        <v>14</v>
      </c>
      <c r="B78">
        <v>14</v>
      </c>
      <c r="C78" s="3" t="s">
        <v>86</v>
      </c>
      <c r="D78" t="str">
        <f t="shared" si="17"/>
        <v>20_gray.jpg</v>
      </c>
      <c r="E78">
        <v>810</v>
      </c>
      <c r="F78">
        <v>189</v>
      </c>
      <c r="G78">
        <v>56</v>
      </c>
      <c r="H78" s="2">
        <f t="shared" si="15"/>
        <v>14.464285714285714</v>
      </c>
      <c r="I78">
        <f t="shared" si="16"/>
        <v>3.375</v>
      </c>
      <c r="J78">
        <f t="shared" si="18"/>
        <v>37.333201872535902</v>
      </c>
    </row>
    <row r="79" spans="1:10" x14ac:dyDescent="0.25">
      <c r="A79">
        <f>G79/4</f>
        <v>14</v>
      </c>
      <c r="B79">
        <v>14</v>
      </c>
      <c r="C79" s="3" t="s">
        <v>87</v>
      </c>
      <c r="D79" t="str">
        <f t="shared" si="17"/>
        <v>20_personalizada.jpg</v>
      </c>
      <c r="E79" s="1">
        <v>810</v>
      </c>
      <c r="F79">
        <v>189</v>
      </c>
      <c r="G79">
        <v>56</v>
      </c>
      <c r="H79" s="2">
        <f t="shared" si="15"/>
        <v>14.464285714285714</v>
      </c>
      <c r="I79">
        <f t="shared" si="16"/>
        <v>3.375</v>
      </c>
      <c r="J79">
        <f t="shared" si="18"/>
        <v>37.333201872535902</v>
      </c>
    </row>
    <row r="80" spans="1:10" x14ac:dyDescent="0.25">
      <c r="A80">
        <f>G80/4</f>
        <v>14</v>
      </c>
      <c r="B80">
        <v>14</v>
      </c>
      <c r="C80" s="3" t="s">
        <v>88</v>
      </c>
      <c r="D80" t="str">
        <f t="shared" si="17"/>
        <v>20_personalizada2.jpg</v>
      </c>
      <c r="E80">
        <v>810</v>
      </c>
      <c r="F80">
        <v>189</v>
      </c>
      <c r="G80">
        <v>56</v>
      </c>
      <c r="H80" s="2">
        <f t="shared" si="15"/>
        <v>14.464285714285714</v>
      </c>
      <c r="I80">
        <f t="shared" si="16"/>
        <v>3.375</v>
      </c>
      <c r="J80">
        <f t="shared" si="18"/>
        <v>37.333201872535902</v>
      </c>
    </row>
    <row r="81" spans="1:10" x14ac:dyDescent="0.25">
      <c r="A81">
        <f>G81/4</f>
        <v>14</v>
      </c>
      <c r="B81">
        <v>14</v>
      </c>
      <c r="C81" s="3" t="s">
        <v>89</v>
      </c>
      <c r="D81" t="str">
        <f t="shared" si="17"/>
        <v>20_norte.jpg</v>
      </c>
      <c r="E81">
        <v>810</v>
      </c>
      <c r="F81">
        <v>189</v>
      </c>
      <c r="G81">
        <v>56</v>
      </c>
      <c r="H81" s="2">
        <f t="shared" si="15"/>
        <v>14.464285714285714</v>
      </c>
      <c r="I81">
        <f t="shared" si="16"/>
        <v>3.375</v>
      </c>
      <c r="J81">
        <f t="shared" si="18"/>
        <v>37.333201872535902</v>
      </c>
    </row>
    <row r="82" spans="1:10" x14ac:dyDescent="0.25">
      <c r="A82">
        <f t="shared" si="10"/>
        <v>14.75</v>
      </c>
      <c r="B82">
        <v>15</v>
      </c>
      <c r="C82" s="3" t="s">
        <v>90</v>
      </c>
      <c r="D82" t="str">
        <f t="shared" si="17"/>
        <v>21_gray.jpg</v>
      </c>
      <c r="E82">
        <v>869</v>
      </c>
      <c r="F82">
        <v>203</v>
      </c>
      <c r="G82">
        <v>59</v>
      </c>
      <c r="H82" s="2">
        <f t="shared" si="15"/>
        <v>14.728813559322035</v>
      </c>
      <c r="I82">
        <f t="shared" si="16"/>
        <v>3.4406779661016951</v>
      </c>
      <c r="J82">
        <f t="shared" si="18"/>
        <v>39.383473674052162</v>
      </c>
    </row>
    <row r="83" spans="1:10" x14ac:dyDescent="0.25">
      <c r="A83">
        <f>G83/4</f>
        <v>14.75</v>
      </c>
      <c r="B83">
        <v>15</v>
      </c>
      <c r="C83" s="3" t="s">
        <v>91</v>
      </c>
      <c r="D83" t="str">
        <f t="shared" si="17"/>
        <v>21_personalizada.jpg</v>
      </c>
      <c r="E83">
        <v>869</v>
      </c>
      <c r="F83">
        <v>203</v>
      </c>
      <c r="G83">
        <v>59</v>
      </c>
      <c r="H83" s="2">
        <f t="shared" si="15"/>
        <v>14.728813559322035</v>
      </c>
      <c r="I83">
        <f t="shared" si="16"/>
        <v>3.4406779661016951</v>
      </c>
      <c r="J83">
        <f t="shared" si="18"/>
        <v>39.383473674052162</v>
      </c>
    </row>
    <row r="84" spans="1:10" x14ac:dyDescent="0.25">
      <c r="A84">
        <f>G84/4</f>
        <v>14.75</v>
      </c>
      <c r="B84">
        <v>15</v>
      </c>
      <c r="C84" s="3" t="s">
        <v>92</v>
      </c>
      <c r="D84" t="str">
        <f t="shared" si="17"/>
        <v>21_personalizada2.jpg</v>
      </c>
      <c r="E84">
        <v>869</v>
      </c>
      <c r="F84">
        <v>203</v>
      </c>
      <c r="G84">
        <v>59</v>
      </c>
      <c r="H84" s="2">
        <f t="shared" si="15"/>
        <v>14.728813559322035</v>
      </c>
      <c r="I84">
        <f t="shared" si="16"/>
        <v>3.4406779661016951</v>
      </c>
      <c r="J84">
        <f t="shared" si="18"/>
        <v>39.383473674052162</v>
      </c>
    </row>
    <row r="85" spans="1:10" x14ac:dyDescent="0.25">
      <c r="A85">
        <f>G85/4</f>
        <v>14.75</v>
      </c>
      <c r="B85">
        <v>15</v>
      </c>
      <c r="C85" s="3" t="s">
        <v>93</v>
      </c>
      <c r="D85" t="str">
        <f t="shared" si="17"/>
        <v>21_norte.jpg</v>
      </c>
      <c r="E85">
        <v>869</v>
      </c>
      <c r="F85">
        <v>203</v>
      </c>
      <c r="G85">
        <v>59</v>
      </c>
      <c r="H85" s="2">
        <f t="shared" si="15"/>
        <v>14.728813559322035</v>
      </c>
      <c r="I85">
        <f t="shared" si="16"/>
        <v>3.4406779661016951</v>
      </c>
      <c r="J85">
        <f t="shared" si="18"/>
        <v>39.383473674052162</v>
      </c>
    </row>
    <row r="86" spans="1:10" x14ac:dyDescent="0.25">
      <c r="A86">
        <f t="shared" si="10"/>
        <v>14.25</v>
      </c>
      <c r="B86">
        <v>15</v>
      </c>
      <c r="C86" s="3" t="s">
        <v>94</v>
      </c>
      <c r="D86" t="str">
        <f t="shared" si="17"/>
        <v>22_gray.jpg</v>
      </c>
      <c r="E86">
        <v>824</v>
      </c>
      <c r="F86">
        <v>205</v>
      </c>
      <c r="G86">
        <v>57</v>
      </c>
      <c r="H86" s="2">
        <f t="shared" ref="H86:H117" si="19">E86/G86</f>
        <v>14.456140350877194</v>
      </c>
      <c r="I86">
        <f t="shared" ref="I86:I92" si="20">F86/G86</f>
        <v>3.5964912280701755</v>
      </c>
      <c r="J86">
        <f t="shared" si="18"/>
        <v>37.271216066585438</v>
      </c>
    </row>
    <row r="87" spans="1:10" x14ac:dyDescent="0.25">
      <c r="A87">
        <f>G87/4</f>
        <v>14.25</v>
      </c>
      <c r="B87">
        <v>15</v>
      </c>
      <c r="C87" s="3" t="s">
        <v>95</v>
      </c>
      <c r="D87" t="str">
        <f t="shared" si="17"/>
        <v>22_personalizada.jpg</v>
      </c>
      <c r="E87">
        <v>824</v>
      </c>
      <c r="F87">
        <v>205</v>
      </c>
      <c r="G87">
        <v>57</v>
      </c>
      <c r="H87" s="2">
        <f t="shared" si="19"/>
        <v>14.456140350877194</v>
      </c>
      <c r="I87">
        <f t="shared" si="20"/>
        <v>3.5964912280701755</v>
      </c>
      <c r="J87">
        <f t="shared" si="18"/>
        <v>37.271216066585438</v>
      </c>
    </row>
    <row r="88" spans="1:10" x14ac:dyDescent="0.25">
      <c r="A88">
        <f>G88/4</f>
        <v>14.25</v>
      </c>
      <c r="B88">
        <v>15</v>
      </c>
      <c r="C88" s="3" t="s">
        <v>96</v>
      </c>
      <c r="D88" t="str">
        <f t="shared" si="17"/>
        <v>22_personalizada2.jpg</v>
      </c>
      <c r="E88">
        <v>824</v>
      </c>
      <c r="F88">
        <v>205</v>
      </c>
      <c r="G88">
        <v>57</v>
      </c>
      <c r="H88" s="2">
        <f t="shared" si="19"/>
        <v>14.456140350877194</v>
      </c>
      <c r="I88">
        <f t="shared" si="20"/>
        <v>3.5964912280701755</v>
      </c>
      <c r="J88">
        <f t="shared" si="18"/>
        <v>37.271216066585438</v>
      </c>
    </row>
    <row r="89" spans="1:10" x14ac:dyDescent="0.25">
      <c r="A89">
        <f>G89/4</f>
        <v>14.25</v>
      </c>
      <c r="B89">
        <v>15</v>
      </c>
      <c r="C89" s="3" t="s">
        <v>97</v>
      </c>
      <c r="D89" t="str">
        <f t="shared" si="17"/>
        <v>22_norte.jpg</v>
      </c>
      <c r="E89">
        <v>824</v>
      </c>
      <c r="F89">
        <v>205</v>
      </c>
      <c r="G89">
        <v>57</v>
      </c>
      <c r="H89" s="2">
        <f t="shared" si="19"/>
        <v>14.456140350877194</v>
      </c>
      <c r="I89">
        <f t="shared" si="20"/>
        <v>3.5964912280701755</v>
      </c>
      <c r="J89">
        <f t="shared" si="18"/>
        <v>37.271216066585438</v>
      </c>
    </row>
    <row r="90" spans="1:10" x14ac:dyDescent="0.25">
      <c r="A90">
        <f t="shared" si="10"/>
        <v>11.5</v>
      </c>
      <c r="B90">
        <v>12</v>
      </c>
      <c r="C90" s="3" t="s">
        <v>98</v>
      </c>
      <c r="D90" t="str">
        <f t="shared" si="17"/>
        <v>23_gray.jpg</v>
      </c>
      <c r="E90">
        <v>750</v>
      </c>
      <c r="F90">
        <v>174</v>
      </c>
      <c r="G90">
        <v>46</v>
      </c>
      <c r="H90" s="2">
        <f t="shared" si="19"/>
        <v>16.304347826086957</v>
      </c>
      <c r="I90">
        <f t="shared" si="20"/>
        <v>3.7826086956521738</v>
      </c>
      <c r="J90">
        <f t="shared" si="18"/>
        <v>53.151342226427765</v>
      </c>
    </row>
    <row r="91" spans="1:10" x14ac:dyDescent="0.25">
      <c r="A91">
        <f>G91/4</f>
        <v>11.5</v>
      </c>
      <c r="B91">
        <v>12</v>
      </c>
      <c r="C91" s="3" t="s">
        <v>99</v>
      </c>
      <c r="D91" t="str">
        <f t="shared" si="17"/>
        <v>23_personalizada.jpg</v>
      </c>
      <c r="E91">
        <v>750</v>
      </c>
      <c r="F91">
        <v>174</v>
      </c>
      <c r="G91">
        <v>46</v>
      </c>
      <c r="H91" s="2">
        <f t="shared" si="19"/>
        <v>16.304347826086957</v>
      </c>
      <c r="I91">
        <f t="shared" si="20"/>
        <v>3.7826086956521738</v>
      </c>
      <c r="J91">
        <f t="shared" si="18"/>
        <v>53.151342226427765</v>
      </c>
    </row>
    <row r="92" spans="1:10" x14ac:dyDescent="0.25">
      <c r="A92">
        <f>G92/4</f>
        <v>11.5</v>
      </c>
      <c r="B92">
        <v>12</v>
      </c>
      <c r="C92" s="3" t="s">
        <v>100</v>
      </c>
      <c r="D92" t="str">
        <f t="shared" si="17"/>
        <v>23_personalizada2.jpg</v>
      </c>
      <c r="E92">
        <v>750</v>
      </c>
      <c r="F92">
        <v>174</v>
      </c>
      <c r="G92">
        <v>46</v>
      </c>
      <c r="H92" s="2">
        <f t="shared" si="19"/>
        <v>16.304347826086957</v>
      </c>
      <c r="I92">
        <f t="shared" si="20"/>
        <v>3.7826086956521738</v>
      </c>
      <c r="J92">
        <f t="shared" si="18"/>
        <v>53.151342226427765</v>
      </c>
    </row>
    <row r="93" spans="1:10" x14ac:dyDescent="0.25">
      <c r="A93">
        <f>G93/4</f>
        <v>11.5</v>
      </c>
      <c r="B93">
        <v>12</v>
      </c>
      <c r="C93" s="3" t="s">
        <v>101</v>
      </c>
      <c r="D93" t="str">
        <f t="shared" si="17"/>
        <v>23_norte.jpg</v>
      </c>
      <c r="E93">
        <v>750</v>
      </c>
      <c r="F93">
        <v>174</v>
      </c>
      <c r="G93">
        <v>46</v>
      </c>
      <c r="H93" s="2">
        <f t="shared" si="19"/>
        <v>16.304347826086957</v>
      </c>
      <c r="I93">
        <f>F93/H93</f>
        <v>10.671999999999999</v>
      </c>
      <c r="J93">
        <f t="shared" si="18"/>
        <v>53.151342226427765</v>
      </c>
    </row>
    <row r="94" spans="1:10" x14ac:dyDescent="0.25">
      <c r="A94">
        <f t="shared" si="10"/>
        <v>18.75</v>
      </c>
      <c r="B94">
        <v>19</v>
      </c>
      <c r="C94" s="3" t="s">
        <v>102</v>
      </c>
      <c r="D94" t="str">
        <f t="shared" si="17"/>
        <v>24_gray.jpg</v>
      </c>
      <c r="E94">
        <v>1135</v>
      </c>
      <c r="F94">
        <v>254</v>
      </c>
      <c r="G94">
        <v>75</v>
      </c>
      <c r="H94" s="2">
        <f t="shared" si="19"/>
        <v>15.133333333333333</v>
      </c>
      <c r="I94">
        <f t="shared" ref="I94:I121" si="21">F94/G94</f>
        <v>3.3866666666666667</v>
      </c>
      <c r="J94">
        <f t="shared" si="18"/>
        <v>42.660523171685853</v>
      </c>
    </row>
    <row r="95" spans="1:10" x14ac:dyDescent="0.25">
      <c r="A95">
        <f>G95/4</f>
        <v>18.75</v>
      </c>
      <c r="B95">
        <v>19</v>
      </c>
      <c r="C95" s="3" t="s">
        <v>103</v>
      </c>
      <c r="D95" t="str">
        <f t="shared" si="17"/>
        <v>24_personalizada.jpg</v>
      </c>
      <c r="E95">
        <v>1135</v>
      </c>
      <c r="F95">
        <v>254</v>
      </c>
      <c r="G95">
        <v>75</v>
      </c>
      <c r="H95" s="2">
        <f t="shared" si="19"/>
        <v>15.133333333333333</v>
      </c>
      <c r="I95">
        <f t="shared" si="21"/>
        <v>3.3866666666666667</v>
      </c>
      <c r="J95">
        <f t="shared" si="18"/>
        <v>42.660523171685853</v>
      </c>
    </row>
    <row r="96" spans="1:10" x14ac:dyDescent="0.25">
      <c r="A96">
        <f>G96/4</f>
        <v>18.75</v>
      </c>
      <c r="B96">
        <v>19</v>
      </c>
      <c r="C96" s="3" t="s">
        <v>104</v>
      </c>
      <c r="D96" t="str">
        <f t="shared" si="17"/>
        <v>24_personalizada2.jpg</v>
      </c>
      <c r="E96">
        <v>1135</v>
      </c>
      <c r="F96">
        <v>254</v>
      </c>
      <c r="G96">
        <v>75</v>
      </c>
      <c r="H96" s="2">
        <f t="shared" si="19"/>
        <v>15.133333333333333</v>
      </c>
      <c r="I96">
        <f t="shared" si="21"/>
        <v>3.3866666666666667</v>
      </c>
      <c r="J96">
        <f t="shared" si="18"/>
        <v>42.660523171685853</v>
      </c>
    </row>
    <row r="97" spans="1:10" x14ac:dyDescent="0.25">
      <c r="A97">
        <f>G97/4</f>
        <v>18.75</v>
      </c>
      <c r="B97">
        <v>19</v>
      </c>
      <c r="C97" s="3" t="s">
        <v>105</v>
      </c>
      <c r="D97" t="str">
        <f t="shared" si="17"/>
        <v>24_norte.jpg</v>
      </c>
      <c r="E97">
        <v>1135</v>
      </c>
      <c r="F97">
        <v>254</v>
      </c>
      <c r="G97">
        <v>75</v>
      </c>
      <c r="H97" s="2">
        <f t="shared" si="19"/>
        <v>15.133333333333333</v>
      </c>
      <c r="I97">
        <f t="shared" si="21"/>
        <v>3.3866666666666667</v>
      </c>
      <c r="J97">
        <f t="shared" si="18"/>
        <v>42.660523171685853</v>
      </c>
    </row>
    <row r="98" spans="1:10" x14ac:dyDescent="0.25">
      <c r="A98">
        <f t="shared" si="10"/>
        <v>13.25</v>
      </c>
      <c r="B98">
        <v>14</v>
      </c>
      <c r="C98" s="3" t="s">
        <v>106</v>
      </c>
      <c r="D98" t="str">
        <f t="shared" ref="D98:D129" si="22">_xlfn.CONCAT(C98,".jpg")</f>
        <v>25_gray.jpg</v>
      </c>
      <c r="E98">
        <v>825</v>
      </c>
      <c r="F98">
        <v>187</v>
      </c>
      <c r="G98">
        <v>53</v>
      </c>
      <c r="H98" s="2">
        <f t="shared" si="19"/>
        <v>15.566037735849056</v>
      </c>
      <c r="I98">
        <f t="shared" si="21"/>
        <v>3.5283018867924527</v>
      </c>
      <c r="J98">
        <f t="shared" si="18"/>
        <v>46.360108697590803</v>
      </c>
    </row>
    <row r="99" spans="1:10" x14ac:dyDescent="0.25">
      <c r="A99">
        <f>G99/4</f>
        <v>13.25</v>
      </c>
      <c r="B99">
        <v>14</v>
      </c>
      <c r="C99" s="3" t="s">
        <v>107</v>
      </c>
      <c r="D99" t="str">
        <f t="shared" si="22"/>
        <v>25_personalizada.jpg</v>
      </c>
      <c r="E99">
        <v>825</v>
      </c>
      <c r="F99">
        <v>187</v>
      </c>
      <c r="G99">
        <v>53</v>
      </c>
      <c r="H99" s="2">
        <f t="shared" si="19"/>
        <v>15.566037735849056</v>
      </c>
      <c r="I99">
        <f t="shared" si="21"/>
        <v>3.5283018867924527</v>
      </c>
      <c r="J99">
        <f t="shared" si="18"/>
        <v>46.360108697590803</v>
      </c>
    </row>
    <row r="100" spans="1:10" x14ac:dyDescent="0.25">
      <c r="A100">
        <f>G100/4</f>
        <v>13.25</v>
      </c>
      <c r="B100">
        <v>14</v>
      </c>
      <c r="C100" s="3" t="s">
        <v>108</v>
      </c>
      <c r="D100" t="str">
        <f t="shared" si="22"/>
        <v>25_personalizada2.jpg</v>
      </c>
      <c r="E100">
        <v>825</v>
      </c>
      <c r="F100">
        <v>187</v>
      </c>
      <c r="G100">
        <v>53</v>
      </c>
      <c r="H100" s="2">
        <f t="shared" si="19"/>
        <v>15.566037735849056</v>
      </c>
      <c r="I100">
        <f t="shared" si="21"/>
        <v>3.5283018867924527</v>
      </c>
      <c r="J100">
        <f t="shared" si="18"/>
        <v>46.360108697590803</v>
      </c>
    </row>
    <row r="101" spans="1:10" x14ac:dyDescent="0.25">
      <c r="A101">
        <f>G101/4</f>
        <v>13.25</v>
      </c>
      <c r="B101">
        <v>14</v>
      </c>
      <c r="C101" s="3" t="s">
        <v>109</v>
      </c>
      <c r="D101" t="str">
        <f t="shared" si="22"/>
        <v>25_norte.jpg</v>
      </c>
      <c r="E101">
        <v>825</v>
      </c>
      <c r="F101">
        <v>187</v>
      </c>
      <c r="G101">
        <v>53</v>
      </c>
      <c r="H101" s="2">
        <f t="shared" si="19"/>
        <v>15.566037735849056</v>
      </c>
      <c r="I101">
        <f t="shared" si="21"/>
        <v>3.5283018867924527</v>
      </c>
      <c r="J101">
        <f t="shared" si="18"/>
        <v>46.360108697590803</v>
      </c>
    </row>
    <row r="102" spans="1:10" x14ac:dyDescent="0.25">
      <c r="A102">
        <f t="shared" si="10"/>
        <v>11</v>
      </c>
      <c r="B102">
        <v>11</v>
      </c>
      <c r="C102" s="3" t="s">
        <v>110</v>
      </c>
      <c r="D102" t="str">
        <f t="shared" si="22"/>
        <v>26_gray.jpg</v>
      </c>
      <c r="E102">
        <v>764</v>
      </c>
      <c r="F102">
        <v>188</v>
      </c>
      <c r="G102">
        <v>44</v>
      </c>
      <c r="H102" s="2">
        <f t="shared" si="19"/>
        <v>17.363636363636363</v>
      </c>
      <c r="I102">
        <f t="shared" si="21"/>
        <v>4.2727272727272725</v>
      </c>
      <c r="J102">
        <f t="shared" si="18"/>
        <v>63.996927627327651</v>
      </c>
    </row>
    <row r="103" spans="1:10" x14ac:dyDescent="0.25">
      <c r="A103">
        <f>G103/4</f>
        <v>11</v>
      </c>
      <c r="B103">
        <v>11</v>
      </c>
      <c r="C103" s="3" t="s">
        <v>111</v>
      </c>
      <c r="D103" t="str">
        <f t="shared" si="22"/>
        <v>26_personalizada.jpg</v>
      </c>
      <c r="E103">
        <v>764</v>
      </c>
      <c r="F103">
        <v>188</v>
      </c>
      <c r="G103">
        <v>44</v>
      </c>
      <c r="H103" s="2">
        <f t="shared" si="19"/>
        <v>17.363636363636363</v>
      </c>
      <c r="I103">
        <f t="shared" si="21"/>
        <v>4.2727272727272725</v>
      </c>
      <c r="J103">
        <f t="shared" si="18"/>
        <v>63.996927627327651</v>
      </c>
    </row>
    <row r="104" spans="1:10" x14ac:dyDescent="0.25">
      <c r="A104">
        <f>G104/4</f>
        <v>11</v>
      </c>
      <c r="B104">
        <v>11</v>
      </c>
      <c r="C104" s="3" t="s">
        <v>112</v>
      </c>
      <c r="D104" t="str">
        <f t="shared" si="22"/>
        <v>26_personalizada2.jpg</v>
      </c>
      <c r="E104">
        <v>764</v>
      </c>
      <c r="F104">
        <v>188</v>
      </c>
      <c r="G104">
        <v>44</v>
      </c>
      <c r="H104" s="2">
        <f t="shared" si="19"/>
        <v>17.363636363636363</v>
      </c>
      <c r="I104">
        <f t="shared" si="21"/>
        <v>4.2727272727272725</v>
      </c>
      <c r="J104">
        <f t="shared" si="18"/>
        <v>63.996927627327651</v>
      </c>
    </row>
    <row r="105" spans="1:10" x14ac:dyDescent="0.25">
      <c r="A105">
        <f>G105/4</f>
        <v>11</v>
      </c>
      <c r="B105">
        <v>11</v>
      </c>
      <c r="C105" s="3" t="s">
        <v>113</v>
      </c>
      <c r="D105" t="str">
        <f t="shared" si="22"/>
        <v>26_norte.jpg</v>
      </c>
      <c r="E105">
        <v>764</v>
      </c>
      <c r="F105">
        <v>188</v>
      </c>
      <c r="G105">
        <v>44</v>
      </c>
      <c r="H105" s="2">
        <f t="shared" si="19"/>
        <v>17.363636363636363</v>
      </c>
      <c r="I105">
        <f t="shared" si="21"/>
        <v>4.2727272727272725</v>
      </c>
      <c r="J105">
        <f t="shared" si="18"/>
        <v>63.996927627327651</v>
      </c>
    </row>
    <row r="106" spans="1:10" x14ac:dyDescent="0.25">
      <c r="A106">
        <f t="shared" si="10"/>
        <v>10.75</v>
      </c>
      <c r="B106">
        <v>11</v>
      </c>
      <c r="C106" s="3" t="s">
        <v>114</v>
      </c>
      <c r="D106" t="str">
        <f t="shared" si="22"/>
        <v>27_gray.jpg</v>
      </c>
      <c r="E106">
        <v>499</v>
      </c>
      <c r="F106">
        <v>109</v>
      </c>
      <c r="G106">
        <v>43</v>
      </c>
      <c r="H106" s="2">
        <f t="shared" si="19"/>
        <v>11.604651162790697</v>
      </c>
      <c r="I106">
        <f t="shared" si="21"/>
        <v>2.5348837209302326</v>
      </c>
      <c r="J106">
        <f t="shared" si="18"/>
        <v>19.49322870898655</v>
      </c>
    </row>
    <row r="107" spans="1:10" x14ac:dyDescent="0.25">
      <c r="A107">
        <f>G107/4</f>
        <v>10.75</v>
      </c>
      <c r="B107">
        <v>11</v>
      </c>
      <c r="C107" s="3" t="s">
        <v>115</v>
      </c>
      <c r="D107" t="str">
        <f t="shared" si="22"/>
        <v>27_personalizada.jpg</v>
      </c>
      <c r="E107">
        <v>499</v>
      </c>
      <c r="F107">
        <v>109</v>
      </c>
      <c r="G107">
        <v>43</v>
      </c>
      <c r="H107" s="2">
        <f t="shared" si="19"/>
        <v>11.604651162790697</v>
      </c>
      <c r="I107">
        <f t="shared" si="21"/>
        <v>2.5348837209302326</v>
      </c>
      <c r="J107">
        <f t="shared" si="18"/>
        <v>19.49322870898655</v>
      </c>
    </row>
    <row r="108" spans="1:10" x14ac:dyDescent="0.25">
      <c r="A108">
        <f>G108/4</f>
        <v>10.75</v>
      </c>
      <c r="B108">
        <v>11</v>
      </c>
      <c r="C108" s="3" t="s">
        <v>116</v>
      </c>
      <c r="D108" t="str">
        <f t="shared" si="22"/>
        <v>27_personalizada2.jpg</v>
      </c>
      <c r="E108">
        <v>499</v>
      </c>
      <c r="F108">
        <v>109</v>
      </c>
      <c r="G108">
        <v>43</v>
      </c>
      <c r="H108" s="2">
        <f t="shared" si="19"/>
        <v>11.604651162790697</v>
      </c>
      <c r="I108">
        <f t="shared" si="21"/>
        <v>2.5348837209302326</v>
      </c>
      <c r="J108">
        <f t="shared" si="18"/>
        <v>19.49322870898655</v>
      </c>
    </row>
    <row r="109" spans="1:10" x14ac:dyDescent="0.25">
      <c r="A109">
        <f>G109/4</f>
        <v>10.75</v>
      </c>
      <c r="B109">
        <v>11</v>
      </c>
      <c r="C109" s="3" t="s">
        <v>117</v>
      </c>
      <c r="D109" t="str">
        <f t="shared" si="22"/>
        <v>27_norte.jpg</v>
      </c>
      <c r="E109">
        <v>499</v>
      </c>
      <c r="F109">
        <v>109</v>
      </c>
      <c r="G109">
        <v>43</v>
      </c>
      <c r="H109" s="2">
        <f t="shared" si="19"/>
        <v>11.604651162790697</v>
      </c>
      <c r="I109">
        <f t="shared" si="21"/>
        <v>2.5348837209302326</v>
      </c>
      <c r="J109">
        <f t="shared" si="18"/>
        <v>19.49322870898655</v>
      </c>
    </row>
    <row r="110" spans="1:10" x14ac:dyDescent="0.25">
      <c r="A110">
        <f t="shared" si="10"/>
        <v>14.75</v>
      </c>
      <c r="B110">
        <v>15</v>
      </c>
      <c r="C110" s="3" t="s">
        <v>118</v>
      </c>
      <c r="D110" t="str">
        <f t="shared" si="22"/>
        <v>28_gray.jpg</v>
      </c>
      <c r="E110">
        <v>975</v>
      </c>
      <c r="F110">
        <v>234</v>
      </c>
      <c r="G110">
        <v>59</v>
      </c>
      <c r="H110" s="2">
        <f t="shared" si="19"/>
        <v>16.525423728813561</v>
      </c>
      <c r="I110">
        <f t="shared" si="21"/>
        <v>3.9661016949152543</v>
      </c>
      <c r="J110">
        <f t="shared" si="18"/>
        <v>55.305623731622909</v>
      </c>
    </row>
    <row r="111" spans="1:10" x14ac:dyDescent="0.25">
      <c r="A111">
        <f>G111/4</f>
        <v>14.75</v>
      </c>
      <c r="B111">
        <v>15</v>
      </c>
      <c r="C111" s="3" t="s">
        <v>119</v>
      </c>
      <c r="D111" t="str">
        <f t="shared" si="22"/>
        <v>28_personalizada.jpg</v>
      </c>
      <c r="E111">
        <v>975</v>
      </c>
      <c r="F111">
        <v>234</v>
      </c>
      <c r="G111">
        <v>59</v>
      </c>
      <c r="H111" s="2">
        <f t="shared" si="19"/>
        <v>16.525423728813561</v>
      </c>
      <c r="I111">
        <f t="shared" si="21"/>
        <v>3.9661016949152543</v>
      </c>
      <c r="J111">
        <f t="shared" si="18"/>
        <v>55.305623731622909</v>
      </c>
    </row>
    <row r="112" spans="1:10" x14ac:dyDescent="0.25">
      <c r="A112">
        <f>G112/4</f>
        <v>14.75</v>
      </c>
      <c r="B112">
        <v>15</v>
      </c>
      <c r="C112" s="3" t="s">
        <v>120</v>
      </c>
      <c r="D112" t="str">
        <f t="shared" si="22"/>
        <v>28_personalizada2.jpg</v>
      </c>
      <c r="E112">
        <v>975</v>
      </c>
      <c r="F112">
        <v>234</v>
      </c>
      <c r="G112">
        <v>59</v>
      </c>
      <c r="H112" s="2">
        <f t="shared" si="19"/>
        <v>16.525423728813561</v>
      </c>
      <c r="I112">
        <f t="shared" si="21"/>
        <v>3.9661016949152543</v>
      </c>
      <c r="J112">
        <f t="shared" si="18"/>
        <v>55.305623731622909</v>
      </c>
    </row>
    <row r="113" spans="1:10" x14ac:dyDescent="0.25">
      <c r="A113">
        <f>G113/4</f>
        <v>14.75</v>
      </c>
      <c r="B113">
        <v>15</v>
      </c>
      <c r="C113" s="3" t="s">
        <v>121</v>
      </c>
      <c r="D113" t="str">
        <f t="shared" si="22"/>
        <v>28_norte.jpg</v>
      </c>
      <c r="E113">
        <v>975</v>
      </c>
      <c r="F113">
        <v>234</v>
      </c>
      <c r="G113">
        <v>59</v>
      </c>
      <c r="H113" s="2">
        <f t="shared" si="19"/>
        <v>16.525423728813561</v>
      </c>
      <c r="I113">
        <f t="shared" si="21"/>
        <v>3.9661016949152543</v>
      </c>
      <c r="J113">
        <f t="shared" si="18"/>
        <v>55.305623731622909</v>
      </c>
    </row>
    <row r="114" spans="1:10" x14ac:dyDescent="0.25">
      <c r="A114">
        <f t="shared" si="10"/>
        <v>9.75</v>
      </c>
      <c r="B114">
        <v>10</v>
      </c>
      <c r="C114" s="3" t="s">
        <v>122</v>
      </c>
      <c r="D114" t="str">
        <f t="shared" si="22"/>
        <v>29_gray.jpg</v>
      </c>
      <c r="E114">
        <v>595</v>
      </c>
      <c r="F114">
        <v>147</v>
      </c>
      <c r="G114">
        <v>39</v>
      </c>
      <c r="H114" s="2">
        <f t="shared" si="19"/>
        <v>15.256410256410257</v>
      </c>
      <c r="I114">
        <f t="shared" si="21"/>
        <v>3.7692307692307692</v>
      </c>
      <c r="J114">
        <f t="shared" si="18"/>
        <v>43.692165579791762</v>
      </c>
    </row>
    <row r="115" spans="1:10" x14ac:dyDescent="0.25">
      <c r="A115">
        <f>G115/4</f>
        <v>9.75</v>
      </c>
      <c r="B115">
        <v>10</v>
      </c>
      <c r="C115" s="3" t="s">
        <v>123</v>
      </c>
      <c r="D115" t="str">
        <f t="shared" si="22"/>
        <v>29_personalizada.jpg</v>
      </c>
      <c r="E115">
        <v>595</v>
      </c>
      <c r="F115">
        <v>147</v>
      </c>
      <c r="G115">
        <v>39</v>
      </c>
      <c r="H115" s="2">
        <f t="shared" si="19"/>
        <v>15.256410256410257</v>
      </c>
      <c r="I115">
        <f t="shared" si="21"/>
        <v>3.7692307692307692</v>
      </c>
      <c r="J115">
        <f t="shared" si="18"/>
        <v>43.692165579791762</v>
      </c>
    </row>
    <row r="116" spans="1:10" x14ac:dyDescent="0.25">
      <c r="A116">
        <f>G116/4</f>
        <v>9.75</v>
      </c>
      <c r="B116">
        <v>10</v>
      </c>
      <c r="C116" s="3" t="s">
        <v>124</v>
      </c>
      <c r="D116" t="str">
        <f t="shared" si="22"/>
        <v>29_personalizada2.jpg</v>
      </c>
      <c r="E116">
        <v>595</v>
      </c>
      <c r="F116">
        <v>147</v>
      </c>
      <c r="G116">
        <v>39</v>
      </c>
      <c r="H116" s="2">
        <f t="shared" si="19"/>
        <v>15.256410256410257</v>
      </c>
      <c r="I116">
        <f t="shared" si="21"/>
        <v>3.7692307692307692</v>
      </c>
      <c r="J116">
        <f t="shared" si="18"/>
        <v>43.692165579791762</v>
      </c>
    </row>
    <row r="117" spans="1:10" x14ac:dyDescent="0.25">
      <c r="A117">
        <f>G117/4</f>
        <v>9.75</v>
      </c>
      <c r="B117">
        <v>10</v>
      </c>
      <c r="C117" s="3" t="s">
        <v>125</v>
      </c>
      <c r="D117" t="str">
        <f t="shared" si="22"/>
        <v>29_norte.jpg</v>
      </c>
      <c r="E117">
        <v>595</v>
      </c>
      <c r="F117">
        <v>147</v>
      </c>
      <c r="G117">
        <v>39</v>
      </c>
      <c r="H117" s="2">
        <f t="shared" si="19"/>
        <v>15.256410256410257</v>
      </c>
      <c r="I117">
        <f t="shared" si="21"/>
        <v>3.7692307692307692</v>
      </c>
      <c r="J117">
        <f t="shared" si="18"/>
        <v>43.692165579791762</v>
      </c>
    </row>
    <row r="118" spans="1:10" x14ac:dyDescent="0.25">
      <c r="A118">
        <f t="shared" si="10"/>
        <v>10</v>
      </c>
      <c r="B118">
        <v>10</v>
      </c>
      <c r="C118" s="3" t="s">
        <v>126</v>
      </c>
      <c r="D118" t="str">
        <f t="shared" si="22"/>
        <v>30_gray.jpg</v>
      </c>
      <c r="E118">
        <v>585</v>
      </c>
      <c r="F118">
        <v>142</v>
      </c>
      <c r="G118">
        <v>40</v>
      </c>
      <c r="H118" s="2">
        <f t="shared" ref="H118:H121" si="23">E118/G118</f>
        <v>14.625</v>
      </c>
      <c r="I118">
        <f t="shared" si="21"/>
        <v>3.55</v>
      </c>
      <c r="J118">
        <f t="shared" si="18"/>
        <v>38.570204648323489</v>
      </c>
    </row>
    <row r="119" spans="1:10" x14ac:dyDescent="0.25">
      <c r="A119">
        <f>G119/4</f>
        <v>10</v>
      </c>
      <c r="B119">
        <v>10</v>
      </c>
      <c r="C119" s="3" t="s">
        <v>127</v>
      </c>
      <c r="D119" t="str">
        <f t="shared" si="22"/>
        <v>30_personalizada.jpg</v>
      </c>
      <c r="E119">
        <v>585</v>
      </c>
      <c r="F119">
        <v>142</v>
      </c>
      <c r="G119">
        <v>40</v>
      </c>
      <c r="H119" s="2">
        <f t="shared" si="23"/>
        <v>14.625</v>
      </c>
      <c r="I119">
        <f t="shared" si="21"/>
        <v>3.55</v>
      </c>
      <c r="J119">
        <f t="shared" si="18"/>
        <v>38.570204648323489</v>
      </c>
    </row>
    <row r="120" spans="1:10" x14ac:dyDescent="0.25">
      <c r="A120">
        <f>G120/4</f>
        <v>10</v>
      </c>
      <c r="B120">
        <v>10</v>
      </c>
      <c r="C120" s="3" t="s">
        <v>128</v>
      </c>
      <c r="D120" t="str">
        <f t="shared" si="22"/>
        <v>30_personalizada2.jpg</v>
      </c>
      <c r="E120">
        <v>585</v>
      </c>
      <c r="F120">
        <v>142</v>
      </c>
      <c r="G120">
        <v>40</v>
      </c>
      <c r="H120" s="2">
        <f t="shared" si="23"/>
        <v>14.625</v>
      </c>
      <c r="I120">
        <f t="shared" si="21"/>
        <v>3.55</v>
      </c>
      <c r="J120">
        <f t="shared" si="18"/>
        <v>38.570204648323489</v>
      </c>
    </row>
    <row r="121" spans="1:10" x14ac:dyDescent="0.25">
      <c r="A121">
        <f>G121/4</f>
        <v>10</v>
      </c>
      <c r="B121">
        <v>10</v>
      </c>
      <c r="C121" s="3" t="s">
        <v>89</v>
      </c>
      <c r="D121" t="str">
        <f t="shared" si="22"/>
        <v>20_norte.jpg</v>
      </c>
      <c r="E121">
        <v>585</v>
      </c>
      <c r="F121">
        <v>142</v>
      </c>
      <c r="G121">
        <v>40</v>
      </c>
      <c r="H121" s="2">
        <f t="shared" si="23"/>
        <v>14.625</v>
      </c>
      <c r="I121">
        <f t="shared" si="21"/>
        <v>3.55</v>
      </c>
      <c r="J121">
        <f t="shared" si="18"/>
        <v>38.570204648323489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DAVID RODRÍGUEZ REAL</dc:creator>
  <cp:keywords/>
  <dc:description/>
  <cp:lastModifiedBy>Fredy Zarate</cp:lastModifiedBy>
  <cp:revision/>
  <dcterms:created xsi:type="dcterms:W3CDTF">2025-10-28T22:19:40Z</dcterms:created>
  <dcterms:modified xsi:type="dcterms:W3CDTF">2025-11-03T23:25:33Z</dcterms:modified>
  <cp:category/>
  <cp:contentStatus/>
</cp:coreProperties>
</file>